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BB60875-06E3-48EF-B9CE-E61C6F8912E1}" xr6:coauthVersionLast="47" xr6:coauthVersionMax="47" xr10:uidLastSave="{00000000-0000-0000-0000-000000000000}"/>
  <bookViews>
    <workbookView xWindow="-120" yWindow="-120" windowWidth="29040" windowHeight="15720" tabRatio="818" activeTab="5" xr2:uid="{00000000-000D-0000-FFFF-FFFF00000000}"/>
  </bookViews>
  <sheets>
    <sheet name="DCF&gt;&gt;" sheetId="17" r:id="rId1"/>
    <sheet name="WACC" sheetId="18" r:id="rId2"/>
    <sheet name="Beta" sheetId="20" r:id="rId3"/>
    <sheet name="FInancials&gt;&gt;" sheetId="7" r:id="rId4"/>
    <sheet name="Ratio Analysis" sheetId="11" r:id="rId5"/>
    <sheet name="HistoricalFS" sheetId="8" r:id="rId6"/>
    <sheet name="Common Size" sheetId="14" r:id="rId7"/>
    <sheet name="Forecasting" sheetId="12" r:id="rId8"/>
    <sheet name="Data's&gt;&gt;" sheetId="9" r:id="rId9"/>
    <sheet name="Data Sheet" sheetId="6" r:id="rId10"/>
    <sheet name="Cash Flow Data" sheetId="10" r:id="rId11"/>
    <sheet name="Balance Sheet" sheetId="22" r:id="rId12"/>
    <sheet name="Adani Enterprise" sheetId="13" r:id="rId13"/>
    <sheet name="Market Return" sheetId="21" r:id="rId14"/>
  </sheets>
  <definedNames>
    <definedName name="_xlnm._FilterDatabase" localSheetId="2" hidden="1">Beta!$B$6:$D$106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0" i="22" l="1"/>
  <c r="D30" i="22"/>
  <c r="E30" i="22"/>
  <c r="F30" i="22"/>
  <c r="G30" i="22"/>
  <c r="H30" i="22"/>
  <c r="I30" i="22"/>
  <c r="J30" i="22"/>
  <c r="K30" i="22"/>
  <c r="L30" i="22"/>
  <c r="M30" i="22"/>
  <c r="N30" i="22"/>
  <c r="C5" i="21"/>
  <c r="G5" i="21"/>
  <c r="P6" i="20"/>
  <c r="D8" i="20"/>
  <c r="H8" i="20"/>
  <c r="D9" i="20"/>
  <c r="H9" i="20"/>
  <c r="D10" i="20"/>
  <c r="H10" i="20"/>
  <c r="D11" i="20"/>
  <c r="H11" i="20"/>
  <c r="D12" i="20"/>
  <c r="H12" i="20"/>
  <c r="D13" i="20"/>
  <c r="H13" i="20"/>
  <c r="D14" i="20"/>
  <c r="H14" i="20"/>
  <c r="D15" i="20"/>
  <c r="H15" i="20"/>
  <c r="D16" i="20"/>
  <c r="H16" i="20"/>
  <c r="D17" i="20"/>
  <c r="H17" i="20"/>
  <c r="D18" i="20"/>
  <c r="H18" i="20"/>
  <c r="D19" i="20"/>
  <c r="H19" i="20"/>
  <c r="D20" i="20"/>
  <c r="H20" i="20"/>
  <c r="D21" i="20"/>
  <c r="H21" i="20"/>
  <c r="D22" i="20"/>
  <c r="H22" i="20"/>
  <c r="D23" i="20"/>
  <c r="H23" i="20"/>
  <c r="D24" i="20"/>
  <c r="H24" i="20"/>
  <c r="D25" i="20"/>
  <c r="H25" i="20"/>
  <c r="D26" i="20"/>
  <c r="H26" i="20"/>
  <c r="D27" i="20"/>
  <c r="H27" i="20"/>
  <c r="D28" i="20"/>
  <c r="H28" i="20"/>
  <c r="D29" i="20"/>
  <c r="H29" i="20"/>
  <c r="D30" i="20"/>
  <c r="H30" i="20"/>
  <c r="D31" i="20"/>
  <c r="H31" i="20"/>
  <c r="D32" i="20"/>
  <c r="H32" i="20"/>
  <c r="D33" i="20"/>
  <c r="H33" i="20"/>
  <c r="D34" i="20"/>
  <c r="H34" i="20"/>
  <c r="D35" i="20"/>
  <c r="H35" i="20"/>
  <c r="D36" i="20"/>
  <c r="H36" i="20"/>
  <c r="D37" i="20"/>
  <c r="H37" i="20"/>
  <c r="D38" i="20"/>
  <c r="H38" i="20"/>
  <c r="D39" i="20"/>
  <c r="H39" i="20"/>
  <c r="D40" i="20"/>
  <c r="H40" i="20"/>
  <c r="D41" i="20"/>
  <c r="H41" i="20"/>
  <c r="D42" i="20"/>
  <c r="H42" i="20"/>
  <c r="D43" i="20"/>
  <c r="H43" i="20"/>
  <c r="D44" i="20"/>
  <c r="H44" i="20"/>
  <c r="D45" i="20"/>
  <c r="H45" i="20"/>
  <c r="D46" i="20"/>
  <c r="H46" i="20"/>
  <c r="D47" i="20"/>
  <c r="H47" i="20"/>
  <c r="D48" i="20"/>
  <c r="H48" i="20"/>
  <c r="D49" i="20"/>
  <c r="H49" i="20"/>
  <c r="D50" i="20"/>
  <c r="H50" i="20"/>
  <c r="D51" i="20"/>
  <c r="H51" i="20"/>
  <c r="D52" i="20"/>
  <c r="H52" i="20"/>
  <c r="D53" i="20"/>
  <c r="H53" i="20"/>
  <c r="D54" i="20"/>
  <c r="H54" i="20"/>
  <c r="D55" i="20"/>
  <c r="H55" i="20"/>
  <c r="D56" i="20"/>
  <c r="H56" i="20"/>
  <c r="D57" i="20"/>
  <c r="H57" i="20"/>
  <c r="D58" i="20"/>
  <c r="H58" i="20"/>
  <c r="D59" i="20"/>
  <c r="H59" i="20"/>
  <c r="D60" i="20"/>
  <c r="H60" i="20"/>
  <c r="D61" i="20"/>
  <c r="H61" i="20"/>
  <c r="D62" i="20"/>
  <c r="H62" i="20"/>
  <c r="D63" i="20"/>
  <c r="H63" i="20"/>
  <c r="D64" i="20"/>
  <c r="H64" i="20"/>
  <c r="D65" i="20"/>
  <c r="H65" i="20"/>
  <c r="D66" i="20"/>
  <c r="H66" i="20"/>
  <c r="D67" i="20"/>
  <c r="H67" i="20"/>
  <c r="D68" i="20"/>
  <c r="H68" i="20"/>
  <c r="D69" i="20"/>
  <c r="H69" i="20"/>
  <c r="D70" i="20"/>
  <c r="H70" i="20"/>
  <c r="D71" i="20"/>
  <c r="H71" i="20"/>
  <c r="D72" i="20"/>
  <c r="H72" i="20"/>
  <c r="D73" i="20"/>
  <c r="H73" i="20"/>
  <c r="D74" i="20"/>
  <c r="H74" i="20"/>
  <c r="D75" i="20"/>
  <c r="H75" i="20"/>
  <c r="D76" i="20"/>
  <c r="H76" i="20"/>
  <c r="D77" i="20"/>
  <c r="H77" i="20"/>
  <c r="D78" i="20"/>
  <c r="H78" i="20"/>
  <c r="D79" i="20"/>
  <c r="H79" i="20"/>
  <c r="D80" i="20"/>
  <c r="H80" i="20"/>
  <c r="D81" i="20"/>
  <c r="H81" i="20"/>
  <c r="D82" i="20"/>
  <c r="H82" i="20"/>
  <c r="D83" i="20"/>
  <c r="H83" i="20"/>
  <c r="D84" i="20"/>
  <c r="H84" i="20"/>
  <c r="D85" i="20"/>
  <c r="H85" i="20"/>
  <c r="D86" i="20"/>
  <c r="H86" i="20"/>
  <c r="D87" i="20"/>
  <c r="H87" i="20"/>
  <c r="D88" i="20"/>
  <c r="H88" i="20"/>
  <c r="D89" i="20"/>
  <c r="H89" i="20"/>
  <c r="D90" i="20"/>
  <c r="H90" i="20"/>
  <c r="D91" i="20"/>
  <c r="H91" i="20"/>
  <c r="D92" i="20"/>
  <c r="H92" i="20"/>
  <c r="D93" i="20"/>
  <c r="H93" i="20"/>
  <c r="D94" i="20"/>
  <c r="H94" i="20"/>
  <c r="D95" i="20"/>
  <c r="H95" i="20"/>
  <c r="D96" i="20"/>
  <c r="H96" i="20"/>
  <c r="D97" i="20"/>
  <c r="H97" i="20"/>
  <c r="D98" i="20"/>
  <c r="H98" i="20"/>
  <c r="D99" i="20"/>
  <c r="H99" i="20"/>
  <c r="D100" i="20"/>
  <c r="H100" i="20"/>
  <c r="D101" i="20"/>
  <c r="H101" i="20"/>
  <c r="D102" i="20"/>
  <c r="H102" i="20"/>
  <c r="D103" i="20"/>
  <c r="H103" i="20"/>
  <c r="D104" i="20"/>
  <c r="H104" i="20"/>
  <c r="D105" i="20"/>
  <c r="H105" i="20"/>
  <c r="D106" i="20"/>
  <c r="H106" i="20"/>
  <c r="D107" i="20"/>
  <c r="H107" i="20"/>
  <c r="D108" i="20"/>
  <c r="H108" i="20"/>
  <c r="D109" i="20"/>
  <c r="H109" i="20"/>
  <c r="D110" i="20"/>
  <c r="H110" i="20"/>
  <c r="D111" i="20"/>
  <c r="H111" i="20"/>
  <c r="J10" i="18"/>
  <c r="L10" i="18"/>
  <c r="J11" i="18"/>
  <c r="L11" i="18"/>
  <c r="J12" i="18"/>
  <c r="L12" i="18"/>
  <c r="J13" i="18"/>
  <c r="L13" i="18"/>
  <c r="J14" i="18"/>
  <c r="L14" i="18"/>
  <c r="H16" i="18"/>
  <c r="I16" i="18"/>
  <c r="J16" i="18"/>
  <c r="K16" i="18"/>
  <c r="L16" i="18"/>
  <c r="H17" i="18"/>
  <c r="I17" i="18"/>
  <c r="J17" i="18"/>
  <c r="K17" i="18"/>
  <c r="L17" i="18"/>
  <c r="E25" i="18"/>
  <c r="C33" i="18"/>
  <c r="C34" i="18"/>
  <c r="L34" i="18"/>
  <c r="C37" i="14"/>
  <c r="D37" i="14"/>
  <c r="E37" i="14"/>
  <c r="F37" i="14"/>
  <c r="G37" i="14"/>
  <c r="H37" i="14"/>
  <c r="I37" i="14"/>
  <c r="J37" i="14"/>
  <c r="K37" i="14"/>
  <c r="L37" i="14"/>
  <c r="C38" i="14"/>
  <c r="D38" i="14"/>
  <c r="E38" i="14"/>
  <c r="F38" i="14"/>
  <c r="G38" i="14"/>
  <c r="H38" i="14"/>
  <c r="I38" i="14"/>
  <c r="J38" i="14"/>
  <c r="K38" i="14"/>
  <c r="L38" i="14"/>
  <c r="D36" i="14"/>
  <c r="E36" i="14"/>
  <c r="F36" i="14"/>
  <c r="G36" i="14"/>
  <c r="H36" i="14"/>
  <c r="I36" i="14"/>
  <c r="J36" i="14"/>
  <c r="K36" i="14"/>
  <c r="L36" i="14"/>
  <c r="C36" i="14"/>
  <c r="D35" i="14"/>
  <c r="E35" i="14"/>
  <c r="F35" i="14"/>
  <c r="G35" i="14"/>
  <c r="H35" i="14"/>
  <c r="I35" i="14"/>
  <c r="J35" i="14"/>
  <c r="K35" i="14"/>
  <c r="L35" i="14"/>
  <c r="C35" i="14"/>
  <c r="C74" i="6"/>
  <c r="D74" i="6"/>
  <c r="E74" i="6"/>
  <c r="F74" i="6"/>
  <c r="G74" i="6"/>
  <c r="H74" i="6"/>
  <c r="I74" i="6"/>
  <c r="J74" i="6"/>
  <c r="K74" i="6"/>
  <c r="B74" i="6"/>
  <c r="C33" i="14"/>
  <c r="D33" i="14"/>
  <c r="E33" i="14"/>
  <c r="F33" i="14"/>
  <c r="G33" i="14"/>
  <c r="H33" i="14"/>
  <c r="I33" i="14"/>
  <c r="J33" i="14"/>
  <c r="K33" i="14"/>
  <c r="L33" i="14"/>
  <c r="C34" i="14"/>
  <c r="D34" i="14"/>
  <c r="E34" i="14"/>
  <c r="F34" i="14"/>
  <c r="G34" i="14"/>
  <c r="H34" i="14"/>
  <c r="I34" i="14"/>
  <c r="J34" i="14"/>
  <c r="K34" i="14"/>
  <c r="L34" i="14"/>
  <c r="D32" i="14"/>
  <c r="E32" i="14"/>
  <c r="F32" i="14"/>
  <c r="G32" i="14"/>
  <c r="H32" i="14"/>
  <c r="I32" i="14"/>
  <c r="J32" i="14"/>
  <c r="K32" i="14"/>
  <c r="L32" i="14"/>
  <c r="C32" i="14"/>
  <c r="D31" i="14"/>
  <c r="E31" i="14"/>
  <c r="F31" i="14"/>
  <c r="G31" i="14"/>
  <c r="H31" i="14"/>
  <c r="I31" i="14"/>
  <c r="J31" i="14"/>
  <c r="K31" i="14"/>
  <c r="L31" i="14"/>
  <c r="C31" i="14"/>
  <c r="B36" i="14"/>
  <c r="C75" i="6"/>
  <c r="D75" i="6"/>
  <c r="E75" i="6"/>
  <c r="F75" i="6"/>
  <c r="G75" i="6"/>
  <c r="H75" i="6"/>
  <c r="I75" i="6"/>
  <c r="J75" i="6"/>
  <c r="K75" i="6"/>
  <c r="B75" i="6"/>
  <c r="C27" i="14"/>
  <c r="D27" i="14"/>
  <c r="E27" i="14"/>
  <c r="F27" i="14"/>
  <c r="G27" i="14"/>
  <c r="H27" i="14"/>
  <c r="I27" i="14"/>
  <c r="J27" i="14"/>
  <c r="K27" i="14"/>
  <c r="L27" i="14"/>
  <c r="C28" i="14"/>
  <c r="D28" i="14"/>
  <c r="E28" i="14"/>
  <c r="F28" i="14"/>
  <c r="G28" i="14"/>
  <c r="H28" i="14"/>
  <c r="I28" i="14"/>
  <c r="J28" i="14"/>
  <c r="K28" i="14"/>
  <c r="L28" i="14"/>
  <c r="C29" i="14"/>
  <c r="D29" i="14"/>
  <c r="E29" i="14"/>
  <c r="F29" i="14"/>
  <c r="G29" i="14"/>
  <c r="H29" i="14"/>
  <c r="I29" i="14"/>
  <c r="J29" i="14"/>
  <c r="K29" i="14"/>
  <c r="L29" i="14"/>
  <c r="D26" i="14"/>
  <c r="E26" i="14"/>
  <c r="F26" i="14"/>
  <c r="G26" i="14"/>
  <c r="H26" i="14"/>
  <c r="I26" i="14"/>
  <c r="J26" i="14"/>
  <c r="K26" i="14"/>
  <c r="L26" i="14"/>
  <c r="C26" i="14"/>
  <c r="D25" i="14"/>
  <c r="E25" i="14"/>
  <c r="F25" i="14"/>
  <c r="G25" i="14"/>
  <c r="H25" i="14"/>
  <c r="I25" i="14"/>
  <c r="J25" i="14"/>
  <c r="K25" i="14"/>
  <c r="L25" i="14"/>
  <c r="C25" i="14"/>
  <c r="B27" i="14"/>
  <c r="B28" i="14"/>
  <c r="B29" i="14"/>
  <c r="B32" i="14"/>
  <c r="B33" i="14"/>
  <c r="B34" i="14"/>
  <c r="B35" i="14"/>
  <c r="B37" i="14"/>
  <c r="B38" i="14"/>
  <c r="B26" i="14"/>
  <c r="D24" i="14"/>
  <c r="E24" i="14"/>
  <c r="F24" i="14"/>
  <c r="G24" i="14"/>
  <c r="H24" i="14"/>
  <c r="I24" i="14"/>
  <c r="J24" i="14"/>
  <c r="K24" i="14"/>
  <c r="L24" i="14"/>
  <c r="C24" i="14"/>
  <c r="B22" i="14"/>
  <c r="C6" i="14"/>
  <c r="D6" i="14"/>
  <c r="E6" i="14"/>
  <c r="F6" i="14"/>
  <c r="G6" i="14"/>
  <c r="H6" i="14"/>
  <c r="I6" i="14"/>
  <c r="J6" i="14"/>
  <c r="K6" i="14"/>
  <c r="L6" i="14"/>
  <c r="C7" i="14"/>
  <c r="D7" i="14"/>
  <c r="E7" i="14"/>
  <c r="F7" i="14"/>
  <c r="G7" i="14"/>
  <c r="H7" i="14"/>
  <c r="I7" i="14"/>
  <c r="J7" i="14"/>
  <c r="K7" i="14"/>
  <c r="L7" i="14"/>
  <c r="C8" i="14"/>
  <c r="D8" i="14"/>
  <c r="E8" i="14"/>
  <c r="F8" i="14"/>
  <c r="G8" i="14"/>
  <c r="H8" i="14"/>
  <c r="I8" i="14"/>
  <c r="J8" i="14"/>
  <c r="K8" i="14"/>
  <c r="L8" i="14"/>
  <c r="C9" i="14"/>
  <c r="D9" i="14"/>
  <c r="E9" i="14"/>
  <c r="F9" i="14"/>
  <c r="G9" i="14"/>
  <c r="H9" i="14"/>
  <c r="I9" i="14"/>
  <c r="J9" i="14"/>
  <c r="K9" i="14"/>
  <c r="L9" i="14"/>
  <c r="C10" i="14"/>
  <c r="D10" i="14"/>
  <c r="E10" i="14"/>
  <c r="F10" i="14"/>
  <c r="G10" i="14"/>
  <c r="H10" i="14"/>
  <c r="I10" i="14"/>
  <c r="J10" i="14"/>
  <c r="K10" i="14"/>
  <c r="L10" i="14"/>
  <c r="C11" i="14"/>
  <c r="D11" i="14"/>
  <c r="E11" i="14"/>
  <c r="F11" i="14"/>
  <c r="G11" i="14"/>
  <c r="H11" i="14"/>
  <c r="I11" i="14"/>
  <c r="J11" i="14"/>
  <c r="K11" i="14"/>
  <c r="L11" i="14"/>
  <c r="C12" i="14"/>
  <c r="D12" i="14"/>
  <c r="E12" i="14"/>
  <c r="F12" i="14"/>
  <c r="G12" i="14"/>
  <c r="H12" i="14"/>
  <c r="I12" i="14"/>
  <c r="J12" i="14"/>
  <c r="K12" i="14"/>
  <c r="L12" i="14"/>
  <c r="C13" i="14"/>
  <c r="D13" i="14"/>
  <c r="E13" i="14"/>
  <c r="F13" i="14"/>
  <c r="G13" i="14"/>
  <c r="H13" i="14"/>
  <c r="I13" i="14"/>
  <c r="J13" i="14"/>
  <c r="K13" i="14"/>
  <c r="L13" i="14"/>
  <c r="C14" i="14"/>
  <c r="D14" i="14"/>
  <c r="E14" i="14"/>
  <c r="F14" i="14"/>
  <c r="G14" i="14"/>
  <c r="H14" i="14"/>
  <c r="I14" i="14"/>
  <c r="J14" i="14"/>
  <c r="K14" i="14"/>
  <c r="L14" i="14"/>
  <c r="C15" i="14"/>
  <c r="D15" i="14"/>
  <c r="E15" i="14"/>
  <c r="F15" i="14"/>
  <c r="G15" i="14"/>
  <c r="H15" i="14"/>
  <c r="I15" i="14"/>
  <c r="J15" i="14"/>
  <c r="K15" i="14"/>
  <c r="L15" i="14"/>
  <c r="C16" i="14"/>
  <c r="D16" i="14"/>
  <c r="E16" i="14"/>
  <c r="F16" i="14"/>
  <c r="G16" i="14"/>
  <c r="H16" i="14"/>
  <c r="I16" i="14"/>
  <c r="J16" i="14"/>
  <c r="K16" i="14"/>
  <c r="L16" i="14"/>
  <c r="C17" i="14"/>
  <c r="D17" i="14"/>
  <c r="E17" i="14"/>
  <c r="F17" i="14"/>
  <c r="G17" i="14"/>
  <c r="H17" i="14"/>
  <c r="I17" i="14"/>
  <c r="J17" i="14"/>
  <c r="K17" i="14"/>
  <c r="L17" i="14"/>
  <c r="C18" i="14"/>
  <c r="D18" i="14"/>
  <c r="E18" i="14"/>
  <c r="F18" i="14"/>
  <c r="G18" i="14"/>
  <c r="H18" i="14"/>
  <c r="I18" i="14"/>
  <c r="J18" i="14"/>
  <c r="K18" i="14"/>
  <c r="L18" i="14"/>
  <c r="C19" i="14"/>
  <c r="D19" i="14"/>
  <c r="E19" i="14"/>
  <c r="F19" i="14"/>
  <c r="G19" i="14"/>
  <c r="H19" i="14"/>
  <c r="I19" i="14"/>
  <c r="J19" i="14"/>
  <c r="K19" i="14"/>
  <c r="L19" i="14"/>
  <c r="D5" i="14"/>
  <c r="E5" i="14"/>
  <c r="F5" i="14"/>
  <c r="G5" i="14"/>
  <c r="H5" i="14"/>
  <c r="I5" i="14"/>
  <c r="J5" i="14"/>
  <c r="K5" i="14"/>
  <c r="L5" i="14"/>
  <c r="C5" i="14"/>
  <c r="D4" i="14"/>
  <c r="E4" i="14"/>
  <c r="F4" i="14"/>
  <c r="G4" i="14"/>
  <c r="H4" i="14"/>
  <c r="I4" i="14"/>
  <c r="J4" i="14"/>
  <c r="K4" i="14"/>
  <c r="L4" i="14"/>
  <c r="C4" i="14"/>
  <c r="B2" i="14"/>
  <c r="M4" i="12"/>
  <c r="H4" i="12"/>
  <c r="L2" i="12"/>
  <c r="D15" i="12"/>
  <c r="D16" i="12"/>
  <c r="D17" i="12"/>
  <c r="D14" i="12"/>
  <c r="E6" i="12"/>
  <c r="E7" i="12"/>
  <c r="E8" i="12"/>
  <c r="E9" i="12"/>
  <c r="E10" i="12"/>
  <c r="E11" i="12"/>
  <c r="E12" i="12"/>
  <c r="E13" i="12"/>
  <c r="E5" i="12"/>
  <c r="D4" i="12" a="1"/>
  <c r="G2" i="12"/>
  <c r="B2" i="12"/>
  <c r="D17" i="13"/>
  <c r="D16" i="13"/>
  <c r="D15" i="13"/>
  <c r="E13" i="13"/>
  <c r="E12" i="13"/>
  <c r="E11" i="13"/>
  <c r="E10" i="13"/>
  <c r="E9" i="13"/>
  <c r="E8" i="13"/>
  <c r="E7" i="13"/>
  <c r="E6" i="13"/>
  <c r="E5" i="13"/>
  <c r="D13" i="8"/>
  <c r="E13" i="8"/>
  <c r="F13" i="8"/>
  <c r="G13" i="8"/>
  <c r="H13" i="8"/>
  <c r="I13" i="8"/>
  <c r="J13" i="8"/>
  <c r="K13" i="8"/>
  <c r="L13" i="8"/>
  <c r="C13" i="8"/>
  <c r="D7" i="8"/>
  <c r="E7" i="8"/>
  <c r="F7" i="8"/>
  <c r="G7" i="8"/>
  <c r="H7" i="8"/>
  <c r="I7" i="8"/>
  <c r="J7" i="8"/>
  <c r="K7" i="8"/>
  <c r="L7" i="8"/>
  <c r="C7" i="8"/>
  <c r="B2" i="8"/>
  <c r="B2" i="11"/>
  <c r="L3" i="11"/>
  <c r="K3" i="11"/>
  <c r="J3" i="11"/>
  <c r="I3" i="11"/>
  <c r="H3" i="11"/>
  <c r="G3" i="11"/>
  <c r="F3" i="11"/>
  <c r="E3" i="11"/>
  <c r="D3" i="11"/>
  <c r="C3" i="11"/>
  <c r="D94" i="8"/>
  <c r="E94" i="8"/>
  <c r="F94" i="8"/>
  <c r="G94" i="8"/>
  <c r="H94" i="8"/>
  <c r="I94" i="8"/>
  <c r="J94" i="8"/>
  <c r="K94" i="8"/>
  <c r="L94" i="8"/>
  <c r="D95" i="8"/>
  <c r="E95" i="8"/>
  <c r="F95" i="8"/>
  <c r="G95" i="8"/>
  <c r="H95" i="8"/>
  <c r="I95" i="8"/>
  <c r="J95" i="8"/>
  <c r="K95" i="8"/>
  <c r="L95" i="8"/>
  <c r="D96" i="8"/>
  <c r="E96" i="8"/>
  <c r="F96" i="8"/>
  <c r="G96" i="8"/>
  <c r="H96" i="8"/>
  <c r="I96" i="8"/>
  <c r="J96" i="8"/>
  <c r="K96" i="8"/>
  <c r="L96" i="8"/>
  <c r="D97" i="8"/>
  <c r="E97" i="8"/>
  <c r="F97" i="8"/>
  <c r="G97" i="8"/>
  <c r="H97" i="8"/>
  <c r="I97" i="8"/>
  <c r="J97" i="8"/>
  <c r="K97" i="8"/>
  <c r="L97" i="8"/>
  <c r="D98" i="8"/>
  <c r="E98" i="8"/>
  <c r="F98" i="8"/>
  <c r="G98" i="8"/>
  <c r="H98" i="8"/>
  <c r="I98" i="8"/>
  <c r="J98" i="8"/>
  <c r="K98" i="8"/>
  <c r="L98" i="8"/>
  <c r="D99" i="8"/>
  <c r="E99" i="8"/>
  <c r="F99" i="8"/>
  <c r="G99" i="8"/>
  <c r="H99" i="8"/>
  <c r="I99" i="8"/>
  <c r="J99" i="8"/>
  <c r="K99" i="8"/>
  <c r="L99" i="8"/>
  <c r="D100" i="8"/>
  <c r="E100" i="8"/>
  <c r="F100" i="8"/>
  <c r="G100" i="8"/>
  <c r="H100" i="8"/>
  <c r="I100" i="8"/>
  <c r="J100" i="8"/>
  <c r="K100" i="8"/>
  <c r="L100" i="8"/>
  <c r="D101" i="8"/>
  <c r="E101" i="8"/>
  <c r="F101" i="8"/>
  <c r="G101" i="8"/>
  <c r="H101" i="8"/>
  <c r="I101" i="8"/>
  <c r="J101" i="8"/>
  <c r="K101" i="8"/>
  <c r="L101" i="8"/>
  <c r="C95" i="8"/>
  <c r="C96" i="8"/>
  <c r="C97" i="8"/>
  <c r="C98" i="8"/>
  <c r="C99" i="8"/>
  <c r="C100" i="8"/>
  <c r="C101" i="8"/>
  <c r="C94" i="8"/>
  <c r="D84" i="8"/>
  <c r="E84" i="8"/>
  <c r="F84" i="8"/>
  <c r="G84" i="8"/>
  <c r="H84" i="8"/>
  <c r="I84" i="8"/>
  <c r="J84" i="8"/>
  <c r="K84" i="8"/>
  <c r="L84" i="8"/>
  <c r="D85" i="8"/>
  <c r="E85" i="8"/>
  <c r="F85" i="8"/>
  <c r="G85" i="8"/>
  <c r="H85" i="8"/>
  <c r="I85" i="8"/>
  <c r="J85" i="8"/>
  <c r="K85" i="8"/>
  <c r="L85" i="8"/>
  <c r="D86" i="8"/>
  <c r="E86" i="8"/>
  <c r="F86" i="8"/>
  <c r="G86" i="8"/>
  <c r="H86" i="8"/>
  <c r="I86" i="8"/>
  <c r="J86" i="8"/>
  <c r="K86" i="8"/>
  <c r="L86" i="8"/>
  <c r="D87" i="8"/>
  <c r="E87" i="8"/>
  <c r="F87" i="8"/>
  <c r="G87" i="8"/>
  <c r="H87" i="8"/>
  <c r="I87" i="8"/>
  <c r="J87" i="8"/>
  <c r="K87" i="8"/>
  <c r="L87" i="8"/>
  <c r="D88" i="8"/>
  <c r="E88" i="8"/>
  <c r="F88" i="8"/>
  <c r="G88" i="8"/>
  <c r="H88" i="8"/>
  <c r="I88" i="8"/>
  <c r="J88" i="8"/>
  <c r="K88" i="8"/>
  <c r="L88" i="8"/>
  <c r="D89" i="8"/>
  <c r="E89" i="8"/>
  <c r="F89" i="8"/>
  <c r="G89" i="8"/>
  <c r="H89" i="8"/>
  <c r="I89" i="8"/>
  <c r="J89" i="8"/>
  <c r="K89" i="8"/>
  <c r="L89" i="8"/>
  <c r="D90" i="8"/>
  <c r="E90" i="8"/>
  <c r="F90" i="8"/>
  <c r="G90" i="8"/>
  <c r="H90" i="8"/>
  <c r="I90" i="8"/>
  <c r="J90" i="8"/>
  <c r="K90" i="8"/>
  <c r="L90" i="8"/>
  <c r="C85" i="8"/>
  <c r="C86" i="8"/>
  <c r="C87" i="8"/>
  <c r="C88" i="8"/>
  <c r="C89" i="8"/>
  <c r="C90" i="8"/>
  <c r="C84" i="8"/>
  <c r="D75" i="8"/>
  <c r="E75" i="8"/>
  <c r="F75" i="8"/>
  <c r="G75" i="8"/>
  <c r="H75" i="8"/>
  <c r="I75" i="8"/>
  <c r="J75" i="8"/>
  <c r="K75" i="8"/>
  <c r="L75" i="8"/>
  <c r="D76" i="8"/>
  <c r="E76" i="8"/>
  <c r="F76" i="8"/>
  <c r="G76" i="8"/>
  <c r="H76" i="8"/>
  <c r="I76" i="8"/>
  <c r="J76" i="8"/>
  <c r="K76" i="8"/>
  <c r="L76" i="8"/>
  <c r="D77" i="8"/>
  <c r="E77" i="8"/>
  <c r="F77" i="8"/>
  <c r="G77" i="8"/>
  <c r="H77" i="8"/>
  <c r="I77" i="8"/>
  <c r="J77" i="8"/>
  <c r="K77" i="8"/>
  <c r="L77" i="8"/>
  <c r="D78" i="8"/>
  <c r="E78" i="8"/>
  <c r="F78" i="8"/>
  <c r="G78" i="8"/>
  <c r="H78" i="8"/>
  <c r="I78" i="8"/>
  <c r="J78" i="8"/>
  <c r="K78" i="8"/>
  <c r="L78" i="8"/>
  <c r="D79" i="8"/>
  <c r="E79" i="8"/>
  <c r="F79" i="8"/>
  <c r="G79" i="8"/>
  <c r="H79" i="8"/>
  <c r="I79" i="8"/>
  <c r="J79" i="8"/>
  <c r="K79" i="8"/>
  <c r="L79" i="8"/>
  <c r="D80" i="8"/>
  <c r="E80" i="8"/>
  <c r="F80" i="8"/>
  <c r="G80" i="8"/>
  <c r="H80" i="8"/>
  <c r="I80" i="8"/>
  <c r="J80" i="8"/>
  <c r="K80" i="8"/>
  <c r="L80" i="8"/>
  <c r="C76" i="8"/>
  <c r="C77" i="8"/>
  <c r="C78" i="8"/>
  <c r="C79" i="8"/>
  <c r="C80" i="8"/>
  <c r="C75" i="8"/>
  <c r="D57" i="8"/>
  <c r="E57" i="8"/>
  <c r="F57" i="8"/>
  <c r="G57" i="8"/>
  <c r="H57" i="8"/>
  <c r="I57" i="8"/>
  <c r="J57" i="8"/>
  <c r="K57" i="8"/>
  <c r="L57" i="8"/>
  <c r="M57" i="8"/>
  <c r="D58" i="8"/>
  <c r="E58" i="8"/>
  <c r="F58" i="8"/>
  <c r="G58" i="8"/>
  <c r="H58" i="8"/>
  <c r="I58" i="8"/>
  <c r="J58" i="8"/>
  <c r="K58" i="8"/>
  <c r="L58" i="8"/>
  <c r="M58" i="8"/>
  <c r="D59" i="8"/>
  <c r="E59" i="8"/>
  <c r="F59" i="8"/>
  <c r="G59" i="8"/>
  <c r="H59" i="8"/>
  <c r="I59" i="8"/>
  <c r="J59" i="8"/>
  <c r="K59" i="8"/>
  <c r="L59" i="8"/>
  <c r="M59" i="8"/>
  <c r="D60" i="8"/>
  <c r="E60" i="8"/>
  <c r="F60" i="8"/>
  <c r="G60" i="8"/>
  <c r="H60" i="8"/>
  <c r="I60" i="8"/>
  <c r="J60" i="8"/>
  <c r="K60" i="8"/>
  <c r="L60" i="8"/>
  <c r="M60" i="8"/>
  <c r="C60" i="8"/>
  <c r="C58" i="8"/>
  <c r="C59" i="8"/>
  <c r="C57" i="8"/>
  <c r="D63" i="8" a="1"/>
  <c r="E63" i="8" a="1"/>
  <c r="F63" i="8" a="1"/>
  <c r="G63" i="8" a="1"/>
  <c r="H63" i="8" a="1"/>
  <c r="I63" i="8" a="1"/>
  <c r="J63" i="8" a="1"/>
  <c r="K63" i="8" a="1"/>
  <c r="L63" i="8" a="1"/>
  <c r="C63" i="8" a="1"/>
  <c r="D52" i="8" a="1"/>
  <c r="E52" i="8" a="1"/>
  <c r="F52" i="8" a="1"/>
  <c r="G52" i="8" a="1"/>
  <c r="H52" i="8" a="1"/>
  <c r="I52" i="8" a="1"/>
  <c r="J52" i="8" a="1"/>
  <c r="K52" i="8" a="1"/>
  <c r="L52" i="8" a="1"/>
  <c r="M52" i="8" a="1"/>
  <c r="C52" i="8" a="1"/>
  <c r="D51" i="8"/>
  <c r="E51" i="8"/>
  <c r="F51" i="8"/>
  <c r="G51" i="8"/>
  <c r="H51" i="8"/>
  <c r="I51" i="8"/>
  <c r="J51" i="8"/>
  <c r="K51" i="8"/>
  <c r="L51" i="8"/>
  <c r="M51" i="8"/>
  <c r="C51" i="8"/>
  <c r="M44" i="8"/>
  <c r="M47" i="8"/>
  <c r="D39" i="8"/>
  <c r="E39" i="8"/>
  <c r="F39" i="8"/>
  <c r="G39" i="8"/>
  <c r="H39" i="8"/>
  <c r="I39" i="8"/>
  <c r="J39" i="8"/>
  <c r="K39" i="8"/>
  <c r="L39" i="8"/>
  <c r="C39" i="8"/>
  <c r="D33" i="8"/>
  <c r="E33" i="8"/>
  <c r="F33" i="8"/>
  <c r="G33" i="8"/>
  <c r="H33" i="8"/>
  <c r="I33" i="8"/>
  <c r="J33" i="8"/>
  <c r="K33" i="8"/>
  <c r="L33" i="8"/>
  <c r="D30" i="8"/>
  <c r="E30" i="8"/>
  <c r="F30" i="8"/>
  <c r="G30" i="8"/>
  <c r="H30" i="8"/>
  <c r="I30" i="8"/>
  <c r="J30" i="8"/>
  <c r="K30" i="8"/>
  <c r="L30" i="8"/>
  <c r="C30" i="8"/>
  <c r="C33" i="8"/>
  <c r="M30" i="8"/>
  <c r="M27" i="8"/>
  <c r="D27" i="8"/>
  <c r="E27" i="8"/>
  <c r="F27" i="8"/>
  <c r="G27" i="8"/>
  <c r="H27" i="8"/>
  <c r="I27" i="8"/>
  <c r="J27" i="8"/>
  <c r="K27" i="8"/>
  <c r="L27" i="8"/>
  <c r="C27" i="8"/>
  <c r="M22" i="8"/>
  <c r="C22" i="8" a="1"/>
  <c r="M6" i="8" a="1"/>
  <c r="D16" i="8"/>
  <c r="E16" i="8"/>
  <c r="F16" i="8"/>
  <c r="G16" i="8"/>
  <c r="H16" i="8"/>
  <c r="I16" i="8"/>
  <c r="J16" i="8"/>
  <c r="K16" i="8"/>
  <c r="L16" i="8"/>
  <c r="C16" i="8"/>
  <c r="D6" i="8"/>
  <c r="E6" i="8"/>
  <c r="F6" i="8"/>
  <c r="G6" i="8"/>
  <c r="H6" i="8"/>
  <c r="I6" i="8"/>
  <c r="J6" i="8"/>
  <c r="K6" i="8"/>
  <c r="L6" i="8"/>
  <c r="M10" i="8"/>
  <c r="C10" i="8"/>
  <c r="D10" i="8"/>
  <c r="E10" i="8"/>
  <c r="F10" i="8"/>
  <c r="G10" i="8"/>
  <c r="H10" i="8"/>
  <c r="I10" i="8"/>
  <c r="J10" i="8"/>
  <c r="K10" i="8"/>
  <c r="L10" i="8"/>
  <c r="C6" i="8"/>
  <c r="L3" i="8"/>
  <c r="G8" i="8"/>
  <c r="H8" i="8"/>
  <c r="I8" i="8"/>
  <c r="J8" i="8"/>
  <c r="K8" i="8"/>
  <c r="J3" i="8"/>
  <c r="K3" i="8"/>
  <c r="D3" i="8"/>
  <c r="E3" i="8"/>
  <c r="F3" i="8"/>
  <c r="G3" i="8"/>
  <c r="H3" i="8"/>
  <c r="I3" i="8"/>
  <c r="C3" i="8"/>
  <c r="B6" i="6"/>
  <c r="E1" i="6"/>
  <c r="E33" i="18" l="1"/>
  <c r="C35" i="18"/>
  <c r="K40" i="18"/>
  <c r="G7" i="21"/>
  <c r="L24" i="18" s="1"/>
  <c r="P5" i="20"/>
  <c r="P4" i="20"/>
  <c r="L6" i="20" s="1"/>
  <c r="L12" i="20" s="1"/>
  <c r="L25" i="18" s="1"/>
  <c r="D33" i="18"/>
  <c r="L32" i="18"/>
  <c r="H5" i="12"/>
  <c r="M5" i="12"/>
  <c r="M6" i="12" s="1"/>
  <c r="M7" i="12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E14" i="12"/>
  <c r="E15" i="12"/>
  <c r="D4" i="12"/>
  <c r="D5" i="12"/>
  <c r="D6" i="12"/>
  <c r="D7" i="12"/>
  <c r="D8" i="12"/>
  <c r="D9" i="12"/>
  <c r="D10" i="12"/>
  <c r="D11" i="12"/>
  <c r="D12" i="12"/>
  <c r="D13" i="12"/>
  <c r="E7" i="11"/>
  <c r="J7" i="11"/>
  <c r="F7" i="11"/>
  <c r="E18" i="11"/>
  <c r="G18" i="11"/>
  <c r="I18" i="11"/>
  <c r="L18" i="11"/>
  <c r="L7" i="11"/>
  <c r="G7" i="11"/>
  <c r="J18" i="11"/>
  <c r="K7" i="11"/>
  <c r="I7" i="11"/>
  <c r="D18" i="11"/>
  <c r="F18" i="11"/>
  <c r="H18" i="11"/>
  <c r="K18" i="11"/>
  <c r="E28" i="11"/>
  <c r="E35" i="11" s="1"/>
  <c r="H28" i="11"/>
  <c r="H35" i="11" s="1"/>
  <c r="K28" i="11"/>
  <c r="K35" i="11" s="1"/>
  <c r="E29" i="11"/>
  <c r="E36" i="11" s="1"/>
  <c r="H29" i="11"/>
  <c r="H36" i="11" s="1"/>
  <c r="K29" i="11"/>
  <c r="K36" i="11" s="1"/>
  <c r="E30" i="11"/>
  <c r="H30" i="11"/>
  <c r="L30" i="11"/>
  <c r="C29" i="11"/>
  <c r="H7" i="11"/>
  <c r="K5" i="11"/>
  <c r="J5" i="11"/>
  <c r="I5" i="11"/>
  <c r="H5" i="11"/>
  <c r="G5" i="11"/>
  <c r="D28" i="11"/>
  <c r="D35" i="11" s="1"/>
  <c r="G28" i="11"/>
  <c r="G35" i="11" s="1"/>
  <c r="L28" i="11"/>
  <c r="L35" i="11" s="1"/>
  <c r="G29" i="11"/>
  <c r="G36" i="11" s="1"/>
  <c r="J29" i="11"/>
  <c r="J36" i="11" s="1"/>
  <c r="F30" i="11"/>
  <c r="K30" i="11"/>
  <c r="C30" i="11"/>
  <c r="C18" i="11"/>
  <c r="J28" i="11"/>
  <c r="J35" i="11" s="1"/>
  <c r="F29" i="11"/>
  <c r="F36" i="11" s="1"/>
  <c r="D30" i="11"/>
  <c r="I30" i="11"/>
  <c r="C28" i="11"/>
  <c r="F28" i="11"/>
  <c r="F35" i="11" s="1"/>
  <c r="I28" i="11"/>
  <c r="I35" i="11" s="1"/>
  <c r="D29" i="11"/>
  <c r="D36" i="11" s="1"/>
  <c r="I29" i="11"/>
  <c r="I36" i="11" s="1"/>
  <c r="L29" i="11"/>
  <c r="L36" i="11" s="1"/>
  <c r="G30" i="11"/>
  <c r="J30" i="11"/>
  <c r="F102" i="8"/>
  <c r="K102" i="8"/>
  <c r="C102" i="8"/>
  <c r="D91" i="8"/>
  <c r="J91" i="8"/>
  <c r="C91" i="8"/>
  <c r="G81" i="8"/>
  <c r="C81" i="8"/>
  <c r="E81" i="8"/>
  <c r="D102" i="8"/>
  <c r="J102" i="8"/>
  <c r="H91" i="8"/>
  <c r="D81" i="8"/>
  <c r="L81" i="8"/>
  <c r="G102" i="8"/>
  <c r="I102" i="8"/>
  <c r="F91" i="8"/>
  <c r="K91" i="8"/>
  <c r="L91" i="8"/>
  <c r="F81" i="8"/>
  <c r="J81" i="8"/>
  <c r="G91" i="8"/>
  <c r="H81" i="8"/>
  <c r="D7" i="11"/>
  <c r="E102" i="8"/>
  <c r="H102" i="8"/>
  <c r="L102" i="8"/>
  <c r="E91" i="8"/>
  <c r="I91" i="8"/>
  <c r="I81" i="8"/>
  <c r="K81" i="8"/>
  <c r="H61" i="8"/>
  <c r="E61" i="8"/>
  <c r="I61" i="8"/>
  <c r="D61" i="8"/>
  <c r="L61" i="8"/>
  <c r="F61" i="8"/>
  <c r="M61" i="8"/>
  <c r="C61" i="8"/>
  <c r="K61" i="8"/>
  <c r="I52" i="8"/>
  <c r="M70" i="8"/>
  <c r="G61" i="8"/>
  <c r="J61" i="8"/>
  <c r="D63" i="8"/>
  <c r="E63" i="8"/>
  <c r="J63" i="8"/>
  <c r="I63" i="8"/>
  <c r="K63" i="8"/>
  <c r="L63" i="8"/>
  <c r="G63" i="8"/>
  <c r="G66" i="8" s="1"/>
  <c r="F63" i="8"/>
  <c r="H63" i="8"/>
  <c r="C63" i="8"/>
  <c r="E52" i="8"/>
  <c r="F52" i="8"/>
  <c r="L52" i="8"/>
  <c r="D52" i="8"/>
  <c r="H52" i="8"/>
  <c r="J52" i="8"/>
  <c r="K52" i="8"/>
  <c r="M52" i="8"/>
  <c r="G52" i="8"/>
  <c r="C52" i="8"/>
  <c r="D44" i="8"/>
  <c r="J44" i="8"/>
  <c r="G44" i="8"/>
  <c r="H44" i="8"/>
  <c r="H9" i="11" s="1"/>
  <c r="I44" i="8"/>
  <c r="I9" i="11" s="1"/>
  <c r="F44" i="8"/>
  <c r="E44" i="8"/>
  <c r="E9" i="11" s="1"/>
  <c r="K44" i="8"/>
  <c r="K9" i="11" s="1"/>
  <c r="L44" i="8"/>
  <c r="F36" i="8"/>
  <c r="H36" i="8"/>
  <c r="L36" i="8"/>
  <c r="H31" i="8"/>
  <c r="H14" i="11" s="1"/>
  <c r="L31" i="8"/>
  <c r="L14" i="11" s="1"/>
  <c r="D28" i="8"/>
  <c r="H28" i="8"/>
  <c r="L28" i="8"/>
  <c r="K23" i="8"/>
  <c r="I14" i="8"/>
  <c r="I11" i="11" s="1"/>
  <c r="J14" i="8"/>
  <c r="J11" i="11" s="1"/>
  <c r="K14" i="8"/>
  <c r="K11" i="11" s="1"/>
  <c r="L14" i="8"/>
  <c r="L11" i="11" s="1"/>
  <c r="D11" i="8"/>
  <c r="E11" i="8"/>
  <c r="F11" i="8"/>
  <c r="G11" i="8"/>
  <c r="H11" i="8"/>
  <c r="I11" i="8"/>
  <c r="J11" i="8"/>
  <c r="K11" i="8"/>
  <c r="L11" i="8"/>
  <c r="C11" i="8"/>
  <c r="D36" i="8"/>
  <c r="I36" i="8"/>
  <c r="C36" i="8"/>
  <c r="E31" i="8"/>
  <c r="E14" i="11" s="1"/>
  <c r="I31" i="8"/>
  <c r="I14" i="11" s="1"/>
  <c r="E28" i="8"/>
  <c r="J28" i="8"/>
  <c r="F23" i="8"/>
  <c r="G23" i="8"/>
  <c r="D17" i="8"/>
  <c r="D17" i="11" s="1"/>
  <c r="H17" i="8"/>
  <c r="H17" i="11" s="1"/>
  <c r="K17" i="8"/>
  <c r="K17" i="11" s="1"/>
  <c r="C17" i="8"/>
  <c r="C17" i="11" s="1"/>
  <c r="H14" i="8"/>
  <c r="H11" i="11" s="1"/>
  <c r="M36" i="8"/>
  <c r="G36" i="8"/>
  <c r="J36" i="8"/>
  <c r="G31" i="8"/>
  <c r="G14" i="11" s="1"/>
  <c r="K31" i="8"/>
  <c r="K14" i="11" s="1"/>
  <c r="F28" i="8"/>
  <c r="K28" i="8"/>
  <c r="D23" i="8"/>
  <c r="H23" i="8"/>
  <c r="C44" i="8"/>
  <c r="E36" i="8"/>
  <c r="K36" i="8"/>
  <c r="F31" i="8"/>
  <c r="F14" i="11" s="1"/>
  <c r="L23" i="8"/>
  <c r="E17" i="8"/>
  <c r="E17" i="11" s="1"/>
  <c r="G17" i="8"/>
  <c r="G17" i="11" s="1"/>
  <c r="J17" i="8"/>
  <c r="J17" i="11" s="1"/>
  <c r="L17" i="8"/>
  <c r="L17" i="11" s="1"/>
  <c r="G28" i="8"/>
  <c r="J23" i="8"/>
  <c r="F17" i="8"/>
  <c r="F17" i="11" s="1"/>
  <c r="I17" i="8"/>
  <c r="I17" i="11" s="1"/>
  <c r="J31" i="8"/>
  <c r="J14" i="11" s="1"/>
  <c r="I28" i="8"/>
  <c r="C28" i="8"/>
  <c r="E23" i="8"/>
  <c r="I23" i="8"/>
  <c r="G14" i="8"/>
  <c r="G11" i="11" s="1"/>
  <c r="D31" i="8"/>
  <c r="D14" i="11" s="1"/>
  <c r="C31" i="8"/>
  <c r="C14" i="11" s="1"/>
  <c r="C22" i="8"/>
  <c r="C23" i="8" s="1"/>
  <c r="M6" i="8"/>
  <c r="M13" i="8"/>
  <c r="E8" i="8"/>
  <c r="E5" i="11" s="1"/>
  <c r="F8" i="8"/>
  <c r="F5" i="11" s="1"/>
  <c r="D8" i="8"/>
  <c r="D5" i="11" s="1"/>
  <c r="L8" i="8"/>
  <c r="L5" i="11" s="1"/>
  <c r="L40" i="18" l="1"/>
  <c r="D34" i="18"/>
  <c r="D37" i="18" s="1"/>
  <c r="D35" i="18"/>
  <c r="E35" i="18" s="1"/>
  <c r="E34" i="18" s="1"/>
  <c r="L41" i="18" s="1"/>
  <c r="L26" i="18"/>
  <c r="K41" i="18" s="1"/>
  <c r="H6" i="12"/>
  <c r="H7" i="12" s="1"/>
  <c r="H8" i="12" s="1"/>
  <c r="H9" i="12" s="1"/>
  <c r="H10" i="12" s="1"/>
  <c r="H11" i="12" s="1"/>
  <c r="E16" i="12"/>
  <c r="E17" i="12"/>
  <c r="H12" i="12"/>
  <c r="H13" i="12" s="1"/>
  <c r="F9" i="11"/>
  <c r="J9" i="11"/>
  <c r="D31" i="11"/>
  <c r="G31" i="11"/>
  <c r="K31" i="11"/>
  <c r="C31" i="11"/>
  <c r="C27" i="11"/>
  <c r="L9" i="11"/>
  <c r="D23" i="11"/>
  <c r="C23" i="11"/>
  <c r="G9" i="11"/>
  <c r="H27" i="11"/>
  <c r="H34" i="11" s="1"/>
  <c r="H37" i="11" s="1"/>
  <c r="C36" i="11"/>
  <c r="N29" i="11"/>
  <c r="O29" i="11"/>
  <c r="N30" i="11"/>
  <c r="O30" i="11"/>
  <c r="O18" i="11"/>
  <c r="N18" i="11"/>
  <c r="N28" i="11"/>
  <c r="C35" i="11"/>
  <c r="O28" i="11"/>
  <c r="C34" i="11"/>
  <c r="F31" i="11"/>
  <c r="J31" i="11"/>
  <c r="L31" i="11"/>
  <c r="F27" i="11"/>
  <c r="F34" i="11" s="1"/>
  <c r="F37" i="11" s="1"/>
  <c r="J27" i="11"/>
  <c r="J34" i="11" s="1"/>
  <c r="J37" i="11" s="1"/>
  <c r="E31" i="11"/>
  <c r="E27" i="11"/>
  <c r="E34" i="11" s="1"/>
  <c r="E37" i="11" s="1"/>
  <c r="I27" i="11"/>
  <c r="I34" i="11" s="1"/>
  <c r="I37" i="11" s="1"/>
  <c r="K27" i="11"/>
  <c r="K34" i="11" s="1"/>
  <c r="K37" i="11" s="1"/>
  <c r="D27" i="11"/>
  <c r="D34" i="11" s="1"/>
  <c r="D37" i="11" s="1"/>
  <c r="C104" i="8"/>
  <c r="E104" i="8"/>
  <c r="J104" i="8"/>
  <c r="H104" i="8"/>
  <c r="F104" i="8"/>
  <c r="L104" i="8"/>
  <c r="I104" i="8"/>
  <c r="H31" i="11"/>
  <c r="I31" i="11"/>
  <c r="L27" i="11"/>
  <c r="L34" i="11" s="1"/>
  <c r="L37" i="11" s="1"/>
  <c r="G27" i="11"/>
  <c r="G34" i="11" s="1"/>
  <c r="G37" i="11" s="1"/>
  <c r="G39" i="11"/>
  <c r="G41" i="11"/>
  <c r="C39" i="11"/>
  <c r="C41" i="11"/>
  <c r="E39" i="11"/>
  <c r="E41" i="11"/>
  <c r="D41" i="11"/>
  <c r="D39" i="11"/>
  <c r="L41" i="11"/>
  <c r="L39" i="11"/>
  <c r="F39" i="11"/>
  <c r="F41" i="11"/>
  <c r="F40" i="11"/>
  <c r="J41" i="11"/>
  <c r="J39" i="11"/>
  <c r="H41" i="11"/>
  <c r="H39" i="11"/>
  <c r="N7" i="11"/>
  <c r="O7" i="11"/>
  <c r="I39" i="11"/>
  <c r="I41" i="11"/>
  <c r="K41" i="11"/>
  <c r="K39" i="11"/>
  <c r="F8" i="11"/>
  <c r="F23" i="11"/>
  <c r="H23" i="11"/>
  <c r="H8" i="11"/>
  <c r="L8" i="11"/>
  <c r="L23" i="11"/>
  <c r="I8" i="11"/>
  <c r="I23" i="11"/>
  <c r="O17" i="11"/>
  <c r="N17" i="11"/>
  <c r="G8" i="11"/>
  <c r="G23" i="11"/>
  <c r="J8" i="11"/>
  <c r="J23" i="11"/>
  <c r="E23" i="11"/>
  <c r="E8" i="11"/>
  <c r="K23" i="11"/>
  <c r="K8" i="11"/>
  <c r="O14" i="11"/>
  <c r="N14" i="11"/>
  <c r="N5" i="11"/>
  <c r="O5" i="11"/>
  <c r="D104" i="8"/>
  <c r="G104" i="8"/>
  <c r="K104" i="8"/>
  <c r="C66" i="8"/>
  <c r="D9" i="11"/>
  <c r="D8" i="11"/>
  <c r="J66" i="8"/>
  <c r="J68" i="8" s="1"/>
  <c r="J70" i="8" s="1"/>
  <c r="D66" i="8"/>
  <c r="E66" i="8"/>
  <c r="C19" i="8"/>
  <c r="C14" i="8"/>
  <c r="C11" i="11" s="1"/>
  <c r="D19" i="8"/>
  <c r="D25" i="8" s="1"/>
  <c r="D14" i="8"/>
  <c r="D11" i="11" s="1"/>
  <c r="E19" i="8"/>
  <c r="E14" i="8"/>
  <c r="E11" i="11" s="1"/>
  <c r="F19" i="8"/>
  <c r="F14" i="8"/>
  <c r="F11" i="11" s="1"/>
  <c r="G68" i="8"/>
  <c r="G70" i="8" s="1"/>
  <c r="H66" i="8"/>
  <c r="H68" i="8" s="1"/>
  <c r="H70" i="8" s="1"/>
  <c r="K66" i="8"/>
  <c r="K68" i="8" s="1"/>
  <c r="K70" i="8" s="1"/>
  <c r="I66" i="8"/>
  <c r="I68" i="8" s="1"/>
  <c r="I70" i="8" s="1"/>
  <c r="L66" i="8"/>
  <c r="L68" i="8" s="1"/>
  <c r="L70" i="8" s="1"/>
  <c r="F66" i="8"/>
  <c r="F68" i="8" s="1"/>
  <c r="F70" i="8" s="1"/>
  <c r="H19" i="8"/>
  <c r="H41" i="8"/>
  <c r="I41" i="8"/>
  <c r="K41" i="8"/>
  <c r="L41" i="8"/>
  <c r="C41" i="8"/>
  <c r="E37" i="8"/>
  <c r="E15" i="11" s="1"/>
  <c r="I37" i="8"/>
  <c r="I15" i="11" s="1"/>
  <c r="K37" i="8"/>
  <c r="K15" i="11" s="1"/>
  <c r="F41" i="8"/>
  <c r="F37" i="8"/>
  <c r="F15" i="11" s="1"/>
  <c r="J37" i="8"/>
  <c r="J15" i="11" s="1"/>
  <c r="D37" i="8"/>
  <c r="D15" i="11" s="1"/>
  <c r="H37" i="8"/>
  <c r="H15" i="11" s="1"/>
  <c r="L37" i="8"/>
  <c r="L15" i="11" s="1"/>
  <c r="C37" i="8"/>
  <c r="C15" i="11" s="1"/>
  <c r="G19" i="8"/>
  <c r="I19" i="8"/>
  <c r="E41" i="8"/>
  <c r="J19" i="8"/>
  <c r="K19" i="8"/>
  <c r="L19" i="8"/>
  <c r="D41" i="8"/>
  <c r="G41" i="8"/>
  <c r="M28" i="8"/>
  <c r="M23" i="8"/>
  <c r="J41" i="8"/>
  <c r="M41" i="8"/>
  <c r="G37" i="8"/>
  <c r="G15" i="11" s="1"/>
  <c r="M37" i="8"/>
  <c r="M31" i="8"/>
  <c r="L42" i="18" l="1"/>
  <c r="E37" i="18"/>
  <c r="L33" i="18" s="1"/>
  <c r="L35" i="18" s="1"/>
  <c r="C25" i="8"/>
  <c r="I4" i="12" a="1"/>
  <c r="C45" i="8"/>
  <c r="C47" i="8" s="1"/>
  <c r="C22" i="11" s="1"/>
  <c r="N4" i="12" a="1"/>
  <c r="H14" i="12"/>
  <c r="H15" i="12" s="1"/>
  <c r="H16" i="12" s="1"/>
  <c r="H17" i="12" s="1"/>
  <c r="L40" i="11"/>
  <c r="I40" i="11"/>
  <c r="G40" i="11"/>
  <c r="J40" i="11"/>
  <c r="H40" i="11"/>
  <c r="K40" i="11"/>
  <c r="O23" i="11"/>
  <c r="C68" i="8"/>
  <c r="O36" i="11"/>
  <c r="N36" i="11"/>
  <c r="O35" i="11"/>
  <c r="N35" i="11"/>
  <c r="N34" i="11"/>
  <c r="O34" i="11"/>
  <c r="C37" i="11"/>
  <c r="N39" i="11"/>
  <c r="O39" i="11"/>
  <c r="N41" i="11"/>
  <c r="O41" i="11"/>
  <c r="O27" i="11"/>
  <c r="N23" i="11"/>
  <c r="N31" i="11"/>
  <c r="O31" i="11"/>
  <c r="N27" i="11"/>
  <c r="N9" i="11"/>
  <c r="O9" i="11"/>
  <c r="N8" i="11"/>
  <c r="O8" i="11"/>
  <c r="C13" i="11"/>
  <c r="C19" i="11"/>
  <c r="C21" i="11"/>
  <c r="C25" i="11"/>
  <c r="O11" i="11"/>
  <c r="N11" i="11"/>
  <c r="D13" i="11"/>
  <c r="D21" i="11"/>
  <c r="D25" i="11"/>
  <c r="D19" i="11"/>
  <c r="E6" i="11"/>
  <c r="E25" i="8"/>
  <c r="F6" i="11"/>
  <c r="F25" i="8"/>
  <c r="H6" i="11"/>
  <c r="H25" i="8"/>
  <c r="O15" i="11"/>
  <c r="N15" i="11"/>
  <c r="G6" i="11"/>
  <c r="G25" i="8"/>
  <c r="I25" i="8"/>
  <c r="I6" i="11"/>
  <c r="J6" i="11"/>
  <c r="J25" i="8"/>
  <c r="K6" i="11"/>
  <c r="K25" i="8"/>
  <c r="L6" i="11"/>
  <c r="L25" i="8"/>
  <c r="D20" i="8"/>
  <c r="D12" i="11" s="1"/>
  <c r="E20" i="8"/>
  <c r="E12" i="11" s="1"/>
  <c r="D34" i="8"/>
  <c r="E34" i="8"/>
  <c r="F34" i="8"/>
  <c r="F20" i="8"/>
  <c r="F12" i="11" s="1"/>
  <c r="D6" i="11"/>
  <c r="E68" i="8"/>
  <c r="D68" i="8"/>
  <c r="C20" i="8"/>
  <c r="C12" i="11" s="1"/>
  <c r="C34" i="8"/>
  <c r="H34" i="8"/>
  <c r="H20" i="8"/>
  <c r="H12" i="11" s="1"/>
  <c r="G20" i="8"/>
  <c r="G12" i="11" s="1"/>
  <c r="I20" i="8"/>
  <c r="I12" i="11" s="1"/>
  <c r="H45" i="8"/>
  <c r="H47" i="8" s="1"/>
  <c r="H22" i="11" s="1"/>
  <c r="H24" i="11" s="1"/>
  <c r="H42" i="8"/>
  <c r="I45" i="8"/>
  <c r="I47" i="8" s="1"/>
  <c r="I22" i="11" s="1"/>
  <c r="I24" i="11" s="1"/>
  <c r="I42" i="8"/>
  <c r="K42" i="8"/>
  <c r="K45" i="8"/>
  <c r="K47" i="8" s="1"/>
  <c r="K22" i="11" s="1"/>
  <c r="K24" i="11" s="1"/>
  <c r="L45" i="8"/>
  <c r="L47" i="8" s="1"/>
  <c r="L22" i="11" s="1"/>
  <c r="L24" i="11" s="1"/>
  <c r="L42" i="8"/>
  <c r="F45" i="8"/>
  <c r="F47" i="8" s="1"/>
  <c r="F22" i="11" s="1"/>
  <c r="F24" i="11" s="1"/>
  <c r="F42" i="8"/>
  <c r="G34" i="8"/>
  <c r="I34" i="8"/>
  <c r="J20" i="8"/>
  <c r="J12" i="11" s="1"/>
  <c r="J34" i="8"/>
  <c r="K20" i="8"/>
  <c r="K12" i="11" s="1"/>
  <c r="K34" i="8"/>
  <c r="L20" i="8"/>
  <c r="L12" i="11" s="1"/>
  <c r="L34" i="8"/>
  <c r="E42" i="8"/>
  <c r="E45" i="8"/>
  <c r="E47" i="8" s="1"/>
  <c r="E22" i="11" s="1"/>
  <c r="E24" i="11" s="1"/>
  <c r="D42" i="8"/>
  <c r="D45" i="8"/>
  <c r="D47" i="8" s="1"/>
  <c r="D22" i="11" s="1"/>
  <c r="G42" i="8"/>
  <c r="G45" i="8"/>
  <c r="G47" i="8" s="1"/>
  <c r="G22" i="11" s="1"/>
  <c r="G24" i="11" s="1"/>
  <c r="J42" i="8"/>
  <c r="J45" i="8"/>
  <c r="J47" i="8" s="1"/>
  <c r="J22" i="11" s="1"/>
  <c r="J24" i="11" s="1"/>
  <c r="C24" i="11" l="1"/>
  <c r="I13" i="12"/>
  <c r="I12" i="12"/>
  <c r="I11" i="12"/>
  <c r="I10" i="12"/>
  <c r="I9" i="12"/>
  <c r="I8" i="12"/>
  <c r="I7" i="12"/>
  <c r="I6" i="12"/>
  <c r="I5" i="12"/>
  <c r="I4" i="12"/>
  <c r="N10" i="12"/>
  <c r="N13" i="12"/>
  <c r="N12" i="12"/>
  <c r="N11" i="12"/>
  <c r="N9" i="12"/>
  <c r="N8" i="12"/>
  <c r="N7" i="12"/>
  <c r="N6" i="12"/>
  <c r="N5" i="12"/>
  <c r="N4" i="12"/>
  <c r="C40" i="11"/>
  <c r="C70" i="8"/>
  <c r="N37" i="11"/>
  <c r="O37" i="11"/>
  <c r="E13" i="11"/>
  <c r="E21" i="11"/>
  <c r="E25" i="11"/>
  <c r="E19" i="11"/>
  <c r="F13" i="11"/>
  <c r="F21" i="11"/>
  <c r="F25" i="11"/>
  <c r="F19" i="11"/>
  <c r="H19" i="11"/>
  <c r="H13" i="11"/>
  <c r="H21" i="11"/>
  <c r="H25" i="11"/>
  <c r="G13" i="11"/>
  <c r="G21" i="11"/>
  <c r="G25" i="11"/>
  <c r="G19" i="11"/>
  <c r="I13" i="11"/>
  <c r="I21" i="11"/>
  <c r="I25" i="11"/>
  <c r="I19" i="11"/>
  <c r="J13" i="11"/>
  <c r="J21" i="11"/>
  <c r="J25" i="11"/>
  <c r="J19" i="11"/>
  <c r="K13" i="11"/>
  <c r="K21" i="11"/>
  <c r="K25" i="11"/>
  <c r="K19" i="11"/>
  <c r="L21" i="11"/>
  <c r="L25" i="11"/>
  <c r="L13" i="11"/>
  <c r="L19" i="11"/>
  <c r="O6" i="11"/>
  <c r="N6" i="11"/>
  <c r="E70" i="8"/>
  <c r="E40" i="11"/>
  <c r="D70" i="8"/>
  <c r="D40" i="11"/>
  <c r="O12" i="11"/>
  <c r="N12" i="11"/>
  <c r="O22" i="11"/>
  <c r="N22" i="11"/>
  <c r="D24" i="11"/>
  <c r="I14" i="12" l="1"/>
  <c r="J14" i="12" s="1"/>
  <c r="O10" i="12"/>
  <c r="J7" i="12"/>
  <c r="J6" i="12"/>
  <c r="J5" i="12"/>
  <c r="O7" i="12"/>
  <c r="O6" i="12"/>
  <c r="O5" i="12"/>
  <c r="J13" i="12"/>
  <c r="J12" i="12"/>
  <c r="J11" i="12"/>
  <c r="J10" i="12"/>
  <c r="J9" i="12"/>
  <c r="J8" i="12"/>
  <c r="O13" i="12"/>
  <c r="O12" i="12"/>
  <c r="O11" i="12"/>
  <c r="O9" i="12"/>
  <c r="O8" i="12"/>
  <c r="N14" i="12"/>
  <c r="O14" i="12" s="1"/>
  <c r="O24" i="11"/>
  <c r="N24" i="11"/>
  <c r="N40" i="11"/>
  <c r="O40" i="11"/>
  <c r="N19" i="11"/>
  <c r="O13" i="11"/>
  <c r="N13" i="11"/>
  <c r="O19" i="11"/>
  <c r="O21" i="11"/>
  <c r="N21" i="11"/>
  <c r="N25" i="11"/>
  <c r="O25" i="11"/>
  <c r="I15" i="12" l="1"/>
  <c r="J15" i="12" s="1"/>
  <c r="N15" i="12"/>
  <c r="I16" i="12" l="1"/>
  <c r="J16" i="12" s="1"/>
  <c r="N16" i="12"/>
  <c r="O16" i="12" s="1"/>
  <c r="O15" i="12"/>
  <c r="I17" i="12" l="1"/>
  <c r="J17" i="12" s="1"/>
  <c r="N17" i="12"/>
  <c r="O17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<sst xmlns="http://schemas.openxmlformats.org/spreadsheetml/2006/main" count="392" uniqueCount="280">
  <si>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</si>
  <si>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</si>
  <si>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</si>
  <si>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</si>
  <si>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</si>
  <si>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</si>
  <si>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</si>
  <si>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</si>
  <si>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</si>
  <si>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</si>
  <si>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</si>
  <si>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</si>
  <si>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</si>
  <si>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</si>
  <si>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</si>
  <si>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</si>
  <si>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</si>
  <si>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</si>
  <si>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</si>
  <si>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</si>
  <si>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</si>
  <si>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</si>
  <si>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</si>
  <si>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</si>
  <si>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</si>
  <si>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</si>
  <si>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</si>
  <si>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</si>
  <si>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</si>
  <si>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</si>
  <si>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</si>
  <si>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EPS</t>
  </si>
  <si>
    <t>LATEST VERSION</t>
  </si>
  <si>
    <t>CURRENT VERSION</t>
  </si>
  <si>
    <t>RELIANCE INDUSTRIES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</si>
  <si>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</si>
  <si>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</si>
  <si>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</si>
  <si>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</si>
  <si>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</si>
  <si>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</si>
  <si>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</si>
  <si>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</si>
  <si>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</si>
  <si>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</si>
  <si>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</si>
  <si>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</si>
  <si>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</si>
  <si>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</si>
  <si>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</si>
  <si>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</si>
  <si>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</si>
  <si>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</si>
  <si>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</si>
  <si>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</si>
  <si>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</si>
  <si>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</si>
  <si>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Income Statement</t>
  </si>
  <si>
    <t>LTM</t>
  </si>
  <si>
    <t>-</t>
  </si>
  <si>
    <t>COGS</t>
  </si>
  <si>
    <t>COGS % Sales</t>
  </si>
  <si>
    <t>Gross Profit</t>
  </si>
  <si>
    <t>Selling &amp; General Expenses</t>
  </si>
  <si>
    <t>S&amp;G Exp % Sales</t>
  </si>
  <si>
    <t>EBITDA</t>
  </si>
  <si>
    <t>EBITDA Margins</t>
  </si>
  <si>
    <t xml:space="preserve"> Interest % Sales</t>
  </si>
  <si>
    <t>Depreciation % Sales</t>
  </si>
  <si>
    <t>#</t>
  </si>
  <si>
    <t>Earnings Before Tax</t>
  </si>
  <si>
    <t>EBT % Sales</t>
  </si>
  <si>
    <t>Effective Tac Rate</t>
  </si>
  <si>
    <t>Net Profit</t>
  </si>
  <si>
    <t>Net Margins</t>
  </si>
  <si>
    <t>No of Equity Shares</t>
  </si>
  <si>
    <t>Dividend per Share</t>
  </si>
  <si>
    <t>EPS Growth %</t>
  </si>
  <si>
    <t>Dividend Payout Ratio</t>
  </si>
  <si>
    <t>Retained Earnings</t>
  </si>
  <si>
    <t>Balance Sheet</t>
  </si>
  <si>
    <t>Total Liabilities</t>
  </si>
  <si>
    <t>Fixed Assests Net Block</t>
  </si>
  <si>
    <t>Total Non Current Assets</t>
  </si>
  <si>
    <t>Total Current Assets</t>
  </si>
  <si>
    <t>Total Assets</t>
  </si>
  <si>
    <t>Check</t>
  </si>
  <si>
    <t>Profit from operations</t>
  </si>
  <si>
    <t>Payables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</si>
  <si>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</si>
  <si>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</si>
  <si>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</si>
  <si>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</si>
  <si>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</si>
  <si>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</si>
  <si>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</si>
  <si>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</si>
  <si>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</si>
  <si>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</si>
  <si>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</si>
  <si>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</si>
  <si>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</si>
  <si>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</si>
  <si>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</si>
  <si>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Share application money</t>
  </si>
  <si>
    <t>Other financing items</t>
  </si>
  <si>
    <t>Free Cash Flow</t>
  </si>
  <si>
    <t>CFO/OP</t>
  </si>
  <si>
    <t>Cash Flow</t>
  </si>
  <si>
    <t>Operating Activities</t>
  </si>
  <si>
    <t>Cash Flow from Operating Activites</t>
  </si>
  <si>
    <t>Investing Activiites</t>
  </si>
  <si>
    <t>Cash Flow From Investing Activites</t>
  </si>
  <si>
    <t>Financing Activities</t>
  </si>
  <si>
    <t>Cash Flow from Financing Acitivites</t>
  </si>
  <si>
    <t>SalesGrowth</t>
  </si>
  <si>
    <t>EBITDAGrowth</t>
  </si>
  <si>
    <t>EBIT Growth</t>
  </si>
  <si>
    <t>Net Profit Growth</t>
  </si>
  <si>
    <t>Dividend Growth</t>
  </si>
  <si>
    <t>Gross Margin</t>
  </si>
  <si>
    <t>EBITDA Margin</t>
  </si>
  <si>
    <t>EBIT Margin</t>
  </si>
  <si>
    <t>Net Profit Margin</t>
  </si>
  <si>
    <t>SalesExpense%Sales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</si>
  <si>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</si>
  <si>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</si>
  <si>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</si>
  <si>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</si>
  <si>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</si>
  <si>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</si>
  <si>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</si>
  <si>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</si>
  <si>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</si>
  <si>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Turnober Ratio</t>
  </si>
  <si>
    <t>Fixed Asset Turnover Ratio</t>
  </si>
  <si>
    <t>Capital Turnover Ratio</t>
  </si>
  <si>
    <t>Debtor Days</t>
  </si>
  <si>
    <t>Payable Days</t>
  </si>
  <si>
    <t>Inventory Days</t>
  </si>
  <si>
    <t>Cash Conversion Cycle</t>
  </si>
  <si>
    <t>CFO/Sales</t>
  </si>
  <si>
    <t>CFO/Total Assets</t>
  </si>
  <si>
    <t>CFO/Total Debts</t>
  </si>
  <si>
    <t>EBT Margin</t>
  </si>
  <si>
    <t>EBIT</t>
  </si>
  <si>
    <t>Mean</t>
  </si>
  <si>
    <t>Median</t>
  </si>
  <si>
    <t>Year</t>
  </si>
  <si>
    <t>Year Weight</t>
  </si>
  <si>
    <t>Standard Deviation</t>
  </si>
  <si>
    <t>Adani Enterprises</t>
  </si>
  <si>
    <t>Arithmetic mean</t>
  </si>
  <si>
    <t>Geometric mean</t>
  </si>
  <si>
    <t xml:space="preserve"> </t>
  </si>
  <si>
    <t>df</t>
  </si>
  <si>
    <t>Coefficients</t>
  </si>
  <si>
    <t>Particulars</t>
  </si>
  <si>
    <t>4. levered Beta = UnLevered Beta*1+(1-Tax Rate)*Debt/Equity)</t>
  </si>
  <si>
    <t>Weighted Average Cost of Capital</t>
  </si>
  <si>
    <t>3. Unlevered Beta = Levered Beta/1+(1-Tax Rate)*Debt/Equity)</t>
  </si>
  <si>
    <t>Equity</t>
  </si>
  <si>
    <t xml:space="preserve">2.Levered Beta Is based on 5 year monthly data </t>
  </si>
  <si>
    <t>Debt</t>
  </si>
  <si>
    <t>1.Tax Rate considered as marginal tax rate for the country</t>
  </si>
  <si>
    <t>Total Weight</t>
  </si>
  <si>
    <t>Total Cost</t>
  </si>
  <si>
    <t>Notes:</t>
  </si>
  <si>
    <t>Debt/Equity</t>
  </si>
  <si>
    <t>Levered Beta</t>
  </si>
  <si>
    <t>Total Capital</t>
  </si>
  <si>
    <t>Tax Rate</t>
  </si>
  <si>
    <t>Market Capitalixation</t>
  </si>
  <si>
    <t>Target Debt/Equity</t>
  </si>
  <si>
    <t>Total Debt</t>
  </si>
  <si>
    <t>Comps Mediam Unlevered Beta</t>
  </si>
  <si>
    <t>Target</t>
  </si>
  <si>
    <t>Current</t>
  </si>
  <si>
    <t>Capital Structure</t>
  </si>
  <si>
    <t>Cost of Equity</t>
  </si>
  <si>
    <r>
      <t xml:space="preserve">Leverated Beta </t>
    </r>
    <r>
      <rPr>
        <vertAlign val="superscript"/>
        <sz val="11"/>
        <color theme="1"/>
        <rFont val="Calibri"/>
        <family val="2"/>
      </rPr>
      <t>1</t>
    </r>
  </si>
  <si>
    <t>Post-Tax Cost of Debt</t>
  </si>
  <si>
    <t>Equity Risk Premium</t>
  </si>
  <si>
    <t>Risk Free Rate</t>
  </si>
  <si>
    <t>Pre-Tax Cost of Debt</t>
  </si>
  <si>
    <t>Cost of Debt</t>
  </si>
  <si>
    <t xml:space="preserve">Average </t>
  </si>
  <si>
    <t>India</t>
  </si>
  <si>
    <t>BPCL</t>
  </si>
  <si>
    <t>IOCL</t>
  </si>
  <si>
    <t>Coal India</t>
  </si>
  <si>
    <t>ONGC</t>
  </si>
  <si>
    <t>Reliance Industries</t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</si>
  <si>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</si>
  <si>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</si>
  <si>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t>Capital</t>
  </si>
  <si>
    <r>
      <t xml:space="preserve">Taxrate </t>
    </r>
    <r>
      <rPr>
        <vertAlign val="superscript"/>
        <sz val="11"/>
        <color theme="1"/>
        <rFont val="Calibri"/>
        <family val="2"/>
      </rPr>
      <t>1</t>
    </r>
  </si>
  <si>
    <t>Total Equity</t>
  </si>
  <si>
    <t>Country</t>
  </si>
  <si>
    <t>Name of the Company</t>
  </si>
  <si>
    <t>Unlevered</t>
  </si>
  <si>
    <t>Levered</t>
  </si>
  <si>
    <t>Debt/</t>
  </si>
  <si>
    <t>Peer Changes</t>
  </si>
  <si>
    <t>All figures are in INR unless stated otherwise</t>
  </si>
  <si>
    <t>X Variable 1</t>
  </si>
  <si>
    <t>Intercept</t>
  </si>
  <si>
    <t>Upper 95.0%</t>
  </si>
  <si>
    <t>Lower 95.0%</t>
  </si>
  <si>
    <t>Upper 95%</t>
  </si>
  <si>
    <t>Lower 95%</t>
  </si>
  <si>
    <t>P-value</t>
  </si>
  <si>
    <t>t Stat</t>
  </si>
  <si>
    <t>Standard Error</t>
  </si>
  <si>
    <t>Residual</t>
  </si>
  <si>
    <t>Regression</t>
  </si>
  <si>
    <t>Significance F</t>
  </si>
  <si>
    <t>F</t>
  </si>
  <si>
    <t>MS</t>
  </si>
  <si>
    <t>SS</t>
  </si>
  <si>
    <t>ANOVA</t>
  </si>
  <si>
    <t>Observations</t>
  </si>
  <si>
    <t>Adjusted R Square</t>
  </si>
  <si>
    <t>R Square</t>
  </si>
  <si>
    <t>Adjusted Beta</t>
  </si>
  <si>
    <t>Multiple R</t>
  </si>
  <si>
    <t>Regression Statistics</t>
  </si>
  <si>
    <t>Market Beta Weight</t>
  </si>
  <si>
    <t xml:space="preserve">Market Beta </t>
  </si>
  <si>
    <t>SUMMARY OUTPUT</t>
  </si>
  <si>
    <t>Raw Beta Weight</t>
  </si>
  <si>
    <t>Beta 3</t>
  </si>
  <si>
    <t>Levered Beta Rate</t>
  </si>
  <si>
    <t>Weekly Return</t>
  </si>
  <si>
    <t>Adj Close</t>
  </si>
  <si>
    <t>Date</t>
  </si>
  <si>
    <t>Beta 2</t>
  </si>
  <si>
    <t>Beta 1</t>
  </si>
  <si>
    <t>Beta Drifting</t>
  </si>
  <si>
    <t>Nifty 50 Weekly Returns</t>
  </si>
  <si>
    <t>Reliance Industries Weekly Returns</t>
  </si>
  <si>
    <t>Regression Data - 2 Years Weekly</t>
  </si>
  <si>
    <t>Total Market Return</t>
  </si>
  <si>
    <r>
      <t xml:space="preserve">1.39% </t>
    </r>
    <r>
      <rPr>
        <vertAlign val="superscript"/>
        <sz val="11"/>
        <color theme="1"/>
        <rFont val="Calibri"/>
        <family val="2"/>
      </rPr>
      <t>1</t>
    </r>
  </si>
  <si>
    <t>Dividend Yield</t>
  </si>
  <si>
    <t>Average Return</t>
  </si>
  <si>
    <t>Annual</t>
  </si>
  <si>
    <t>Return on Marker</t>
  </si>
  <si>
    <t>Equity Capital</t>
  </si>
  <si>
    <t>Long term Borrowings</t>
  </si>
  <si>
    <t>Short term Borrowings</t>
  </si>
  <si>
    <t>Lease Liabilities</t>
  </si>
  <si>
    <t>Other Borrowings</t>
  </si>
  <si>
    <t>Non controlling int</t>
  </si>
  <si>
    <t>Trade Payables</t>
  </si>
  <si>
    <t>Other liability items</t>
  </si>
  <si>
    <t>Land</t>
  </si>
  <si>
    <t>Building</t>
  </si>
  <si>
    <t>Plant Machinery</t>
  </si>
  <si>
    <t>Ships Vessels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</si>
  <si>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</si>
  <si>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</si>
  <si>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</si>
  <si>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</si>
  <si>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</si>
  <si>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</si>
  <si>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</si>
  <si>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</si>
  <si>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Inventories</t>
  </si>
  <si>
    <t>Trade receivables</t>
  </si>
  <si>
    <t>Cash Equivalents</t>
  </si>
  <si>
    <t>Loans n Advances</t>
  </si>
  <si>
    <t>Other asset items</t>
  </si>
  <si>
    <t>Borrowings -</t>
  </si>
  <si>
    <t>Other Liabilities -</t>
  </si>
  <si>
    <t>Fixed Assets -</t>
  </si>
  <si>
    <t>Other Assets -</t>
  </si>
  <si>
    <t>Cash from Operating Activity -</t>
  </si>
  <si>
    <t>Cash from Investing Activity -</t>
  </si>
  <si>
    <t>Cash from Financing Activity 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</si>
</sst>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,\(&quot;₹&quot;\ #,##0.0\);\-"/>
    <numFmt numFmtId="167" formatCode="&quot;₹&quot;\ #,##0.0"/>
    <numFmt numFmtId="168" formatCode="&quot;₹&quot;\ #,##0.00;\,\(&quot;₹&quot;\ #,##0.00\);\-"/>
    <numFmt numFmtId="169" formatCode="&quot;₹&quot;\ #,##0.0;\(&quot;₹&quot;\ #,##0.0\);\-"/>
    <numFmt numFmtId="170" formatCode="0.00\x"/>
    <numFmt numFmtId="171" formatCode="0\ &quot;Days&quot;"/>
    <numFmt numFmtId="172" formatCode="0.0"/>
    <numFmt numFmtId="173" formatCode="0&quot;A&quot;"/>
    <numFmt numFmtId="174" formatCode="0&quot;E&quot;"/>
    <numFmt numFmtId="175" formatCode="yyyy&quot;A&quot;"/>
    <numFmt numFmtId="176" formatCode="yyyy&quot;E&quot;"/>
    <numFmt numFmtId="177" formatCode="&quot;₹&quot;\ #,##0.00"/>
    <numFmt numFmtId="178" formatCode="#,##0.0;\(#,##0.0\);\-"/>
    <numFmt numFmtId="179" formatCode="#,##0.0;\(#,##0.00\);\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sz val="11"/>
      <color rgb="FF606F7B"/>
      <name val="Arial"/>
      <family val="2"/>
    </font>
    <font>
      <b/>
      <sz val="11"/>
      <color rgb="FF22222F"/>
      <name val="Arial"/>
      <family val="2"/>
    </font>
    <font>
      <i/>
      <sz val="11"/>
      <color theme="1" tint="0.34998626667073579"/>
      <name val="Calibri"/>
      <family val="2"/>
      <scheme val="minor"/>
    </font>
    <font>
      <sz val="11"/>
      <color rgb="FF000066"/>
      <name val="Calibri"/>
      <family val="2"/>
      <scheme val="minor"/>
    </font>
    <font>
      <sz val="11"/>
      <color rgb="FFF8F8F8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0070C0"/>
      <name val="Calibri"/>
      <family val="2"/>
    </font>
    <font>
      <i/>
      <sz val="9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sz val="14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A3E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 style="thick">
        <color rgb="FFDBE4F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2" borderId="0" applyNumberFormat="0" applyBorder="0" applyAlignment="0" applyProtection="0"/>
    <xf numFmtId="9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79">
    <xf numFmtId="0" fontId="0" fillId="0" borderId="0" xfId="0"/>
    <xf numFmtId="43" fontId="2" fillId="0" borderId="0" xfId="1" applyFont="1" applyBorder="1"/>
    <xf numFmtId="0" fontId="2" fillId="0" borderId="0" xfId="0" applyFont="1"/>
    <xf numFmtId="43" fontId="0" fillId="0" borderId="0" xfId="1" applyFont="1" applyBorder="1"/>
    <xf numFmtId="43" fontId="4" fillId="0" borderId="0" xfId="1" applyFont="1" applyBorder="1"/>
    <xf numFmtId="165" fontId="3" fillId="3" borderId="0" xfId="0" applyNumberFormat="1" applyFont="1" applyFill="1" applyAlignment="1">
      <alignment horizontal="center"/>
    </xf>
    <xf numFmtId="165" fontId="3" fillId="3" borderId="0" xfId="1" applyNumberFormat="1" applyFont="1" applyFill="1" applyBorder="1"/>
    <xf numFmtId="165" fontId="7" fillId="0" borderId="0" xfId="1" applyNumberFormat="1" applyFont="1" applyFill="1" applyBorder="1"/>
    <xf numFmtId="164" fontId="0" fillId="0" borderId="0" xfId="1" applyNumberFormat="1" applyFont="1" applyBorder="1"/>
    <xf numFmtId="10" fontId="0" fillId="0" borderId="0" xfId="4" applyNumberFormat="1" applyFont="1"/>
    <xf numFmtId="0" fontId="8" fillId="0" borderId="0" xfId="0" applyFont="1"/>
    <xf numFmtId="0" fontId="8" fillId="0" borderId="0" xfId="0" applyFont="1" applyAlignment="1">
      <alignment horizontal="right"/>
    </xf>
    <xf numFmtId="10" fontId="8" fillId="0" borderId="0" xfId="4" applyNumberFormat="1" applyFont="1"/>
    <xf numFmtId="0" fontId="6" fillId="4" borderId="0" xfId="0" applyFont="1" applyFill="1" applyAlignment="1">
      <alignment vertical="center"/>
    </xf>
    <xf numFmtId="9" fontId="8" fillId="0" borderId="0" xfId="4" applyFont="1"/>
    <xf numFmtId="0" fontId="9" fillId="0" borderId="0" xfId="0" applyFont="1"/>
    <xf numFmtId="10" fontId="9" fillId="0" borderId="0" xfId="4" applyNumberFormat="1" applyFont="1"/>
    <xf numFmtId="167" fontId="0" fillId="0" borderId="0" xfId="0" applyNumberFormat="1"/>
    <xf numFmtId="0" fontId="9" fillId="4" borderId="0" xfId="0" applyFont="1" applyFill="1"/>
    <xf numFmtId="10" fontId="9" fillId="4" borderId="0" xfId="4" applyNumberFormat="1" applyFont="1" applyFill="1"/>
    <xf numFmtId="0" fontId="6" fillId="5" borderId="0" xfId="0" applyFont="1" applyFill="1"/>
    <xf numFmtId="17" fontId="6" fillId="5" borderId="0" xfId="0" applyNumberFormat="1" applyFont="1" applyFill="1"/>
    <xf numFmtId="17" fontId="6" fillId="5" borderId="0" xfId="0" applyNumberFormat="1" applyFont="1" applyFill="1" applyAlignment="1">
      <alignment horizontal="right"/>
    </xf>
    <xf numFmtId="0" fontId="0" fillId="6" borderId="0" xfId="0" applyFill="1"/>
    <xf numFmtId="166" fontId="2" fillId="0" borderId="0" xfId="0" applyNumberFormat="1" applyFont="1"/>
    <xf numFmtId="10" fontId="2" fillId="0" borderId="0" xfId="4" applyNumberFormat="1" applyFont="1"/>
    <xf numFmtId="0" fontId="0" fillId="4" borderId="0" xfId="0" applyFill="1"/>
    <xf numFmtId="166" fontId="0" fillId="0" borderId="0" xfId="0" applyNumberFormat="1"/>
    <xf numFmtId="0" fontId="10" fillId="0" borderId="0" xfId="0" applyFont="1"/>
    <xf numFmtId="0" fontId="11" fillId="8" borderId="1" xfId="0" applyFont="1" applyFill="1" applyBorder="1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169" fontId="0" fillId="0" borderId="0" xfId="0" applyNumberFormat="1"/>
    <xf numFmtId="0" fontId="2" fillId="4" borderId="0" xfId="0" applyFont="1" applyFill="1"/>
    <xf numFmtId="0" fontId="2" fillId="0" borderId="0" xfId="0" applyFont="1" applyAlignment="1">
      <alignment horizontal="left" vertical="top"/>
    </xf>
    <xf numFmtId="0" fontId="2" fillId="0" borderId="2" xfId="0" applyFont="1" applyBorder="1"/>
    <xf numFmtId="166" fontId="2" fillId="0" borderId="2" xfId="0" applyNumberFormat="1" applyFont="1" applyBorder="1"/>
    <xf numFmtId="43" fontId="2" fillId="0" borderId="2" xfId="1" applyFont="1" applyBorder="1"/>
    <xf numFmtId="168" fontId="2" fillId="0" borderId="2" xfId="0" applyNumberFormat="1" applyFont="1" applyBorder="1"/>
    <xf numFmtId="9" fontId="0" fillId="0" borderId="0" xfId="4" applyFont="1"/>
    <xf numFmtId="0" fontId="15" fillId="0" borderId="0" xfId="0" applyFont="1"/>
    <xf numFmtId="9" fontId="15" fillId="0" borderId="0" xfId="4" applyFont="1"/>
    <xf numFmtId="170" fontId="0" fillId="0" borderId="0" xfId="4" applyNumberFormat="1" applyFont="1"/>
    <xf numFmtId="0" fontId="0" fillId="0" borderId="3" xfId="0" applyBorder="1"/>
    <xf numFmtId="10" fontId="0" fillId="0" borderId="3" xfId="4" applyNumberFormat="1" applyFont="1" applyBorder="1"/>
    <xf numFmtId="10" fontId="0" fillId="0" borderId="0" xfId="4" applyNumberFormat="1" applyFont="1" applyBorder="1"/>
    <xf numFmtId="0" fontId="0" fillId="0" borderId="4" xfId="0" applyBorder="1"/>
    <xf numFmtId="10" fontId="0" fillId="0" borderId="4" xfId="4" applyNumberFormat="1" applyFont="1" applyBorder="1"/>
    <xf numFmtId="170" fontId="0" fillId="0" borderId="4" xfId="4" applyNumberFormat="1" applyFont="1" applyBorder="1"/>
    <xf numFmtId="170" fontId="0" fillId="0" borderId="3" xfId="4" applyNumberFormat="1" applyFont="1" applyBorder="1"/>
    <xf numFmtId="170" fontId="0" fillId="0" borderId="0" xfId="4" applyNumberFormat="1" applyFont="1" applyBorder="1"/>
    <xf numFmtId="171" fontId="0" fillId="0" borderId="3" xfId="0" applyNumberFormat="1" applyBorder="1"/>
    <xf numFmtId="171" fontId="0" fillId="0" borderId="0" xfId="0" applyNumberFormat="1"/>
    <xf numFmtId="171" fontId="0" fillId="0" borderId="4" xfId="0" applyNumberFormat="1" applyBorder="1"/>
    <xf numFmtId="0" fontId="6" fillId="4" borderId="0" xfId="0" applyFont="1" applyFill="1"/>
    <xf numFmtId="17" fontId="6" fillId="4" borderId="0" xfId="0" applyNumberFormat="1" applyFont="1" applyFill="1"/>
    <xf numFmtId="17" fontId="6" fillId="4" borderId="0" xfId="0" applyNumberFormat="1" applyFont="1" applyFill="1" applyAlignment="1">
      <alignment horizontal="right"/>
    </xf>
    <xf numFmtId="0" fontId="14" fillId="8" borderId="2" xfId="0" applyFont="1" applyFill="1" applyBorder="1" applyAlignment="1">
      <alignment horizontal="left" vertical="center"/>
    </xf>
    <xf numFmtId="169" fontId="2" fillId="0" borderId="2" xfId="0" applyNumberFormat="1" applyFont="1" applyBorder="1"/>
    <xf numFmtId="3" fontId="0" fillId="0" borderId="0" xfId="0" applyNumberFormat="1"/>
    <xf numFmtId="172" fontId="16" fillId="0" borderId="0" xfId="0" applyNumberFormat="1" applyFont="1"/>
    <xf numFmtId="0" fontId="17" fillId="9" borderId="0" xfId="0" applyFont="1" applyFill="1"/>
    <xf numFmtId="3" fontId="17" fillId="9" borderId="0" xfId="0" applyNumberFormat="1" applyFont="1" applyFill="1"/>
    <xf numFmtId="0" fontId="0" fillId="0" borderId="0" xfId="0" applyAlignment="1">
      <alignment horizontal="left"/>
    </xf>
    <xf numFmtId="10" fontId="0" fillId="0" borderId="0" xfId="0" applyNumberFormat="1"/>
    <xf numFmtId="173" fontId="0" fillId="0" borderId="0" xfId="0" applyNumberFormat="1"/>
    <xf numFmtId="175" fontId="0" fillId="0" borderId="0" xfId="0" applyNumberFormat="1"/>
    <xf numFmtId="4" fontId="0" fillId="0" borderId="0" xfId="0" applyNumberFormat="1"/>
    <xf numFmtId="177" fontId="0" fillId="0" borderId="0" xfId="0" applyNumberFormat="1"/>
    <xf numFmtId="0" fontId="0" fillId="10" borderId="0" xfId="0" applyFill="1" applyAlignment="1">
      <alignment horizontal="left"/>
    </xf>
    <xf numFmtId="176" fontId="0" fillId="10" borderId="0" xfId="0" applyNumberFormat="1" applyFill="1"/>
    <xf numFmtId="10" fontId="0" fillId="10" borderId="0" xfId="4" applyNumberFormat="1" applyFont="1" applyFill="1"/>
    <xf numFmtId="0" fontId="0" fillId="11" borderId="0" xfId="0" applyFill="1" applyAlignment="1">
      <alignment horizontal="left"/>
    </xf>
    <xf numFmtId="174" fontId="0" fillId="11" borderId="0" xfId="0" applyNumberFormat="1" applyFill="1"/>
    <xf numFmtId="4" fontId="16" fillId="11" borderId="0" xfId="0" applyNumberFormat="1" applyFont="1" applyFill="1"/>
    <xf numFmtId="10" fontId="0" fillId="11" borderId="0" xfId="4" applyNumberFormat="1" applyFont="1" applyFill="1"/>
    <xf numFmtId="177" fontId="16" fillId="11" borderId="0" xfId="0" applyNumberFormat="1" applyFont="1" applyFill="1"/>
    <xf numFmtId="0" fontId="2" fillId="0" borderId="4" xfId="0" applyFont="1" applyBorder="1"/>
    <xf numFmtId="15" fontId="0" fillId="0" borderId="4" xfId="0" applyNumberFormat="1" applyBorder="1"/>
    <xf numFmtId="43" fontId="0" fillId="0" borderId="0" xfId="0" applyNumberFormat="1"/>
    <xf numFmtId="43" fontId="2" fillId="0" borderId="0" xfId="0" applyNumberFormat="1" applyFont="1"/>
    <xf numFmtId="10" fontId="2" fillId="0" borderId="0" xfId="4" applyNumberFormat="1" applyFont="1" applyBorder="1"/>
    <xf numFmtId="0" fontId="1" fillId="0" borderId="0" xfId="5"/>
    <xf numFmtId="0" fontId="22" fillId="0" borderId="0" xfId="5" applyFont="1"/>
    <xf numFmtId="10" fontId="0" fillId="0" borderId="3" xfId="6" applyNumberFormat="1" applyFont="1" applyBorder="1"/>
    <xf numFmtId="0" fontId="1" fillId="0" borderId="3" xfId="5" applyBorder="1"/>
    <xf numFmtId="10" fontId="1" fillId="0" borderId="0" xfId="5" applyNumberFormat="1"/>
    <xf numFmtId="0" fontId="19" fillId="0" borderId="4" xfId="5" applyFont="1" applyBorder="1"/>
    <xf numFmtId="0" fontId="19" fillId="0" borderId="0" xfId="5" applyFont="1"/>
    <xf numFmtId="0" fontId="19" fillId="0" borderId="2" xfId="5" applyFont="1" applyBorder="1"/>
    <xf numFmtId="10" fontId="1" fillId="12" borderId="0" xfId="5" applyNumberFormat="1" applyFill="1"/>
    <xf numFmtId="2" fontId="1" fillId="12" borderId="3" xfId="5" applyNumberFormat="1" applyFill="1" applyBorder="1"/>
    <xf numFmtId="10" fontId="1" fillId="0" borderId="3" xfId="5" applyNumberFormat="1" applyBorder="1"/>
    <xf numFmtId="172" fontId="1" fillId="0" borderId="3" xfId="5" applyNumberFormat="1" applyBorder="1"/>
    <xf numFmtId="9" fontId="1" fillId="0" borderId="0" xfId="5" applyNumberFormat="1"/>
    <xf numFmtId="10" fontId="0" fillId="0" borderId="0" xfId="6" applyNumberFormat="1" applyFont="1"/>
    <xf numFmtId="172" fontId="1" fillId="0" borderId="0" xfId="5" applyNumberFormat="1"/>
    <xf numFmtId="2" fontId="1" fillId="0" borderId="0" xfId="5" applyNumberFormat="1"/>
    <xf numFmtId="0" fontId="19" fillId="0" borderId="4" xfId="5" applyFont="1" applyBorder="1" applyAlignment="1">
      <alignment horizontal="right"/>
    </xf>
    <xf numFmtId="0" fontId="1" fillId="0" borderId="2" xfId="5" applyBorder="1"/>
    <xf numFmtId="10" fontId="0" fillId="12" borderId="5" xfId="6" applyNumberFormat="1" applyFont="1" applyFill="1" applyBorder="1"/>
    <xf numFmtId="0" fontId="1" fillId="0" borderId="5" xfId="5" applyBorder="1"/>
    <xf numFmtId="10" fontId="1" fillId="0" borderId="5" xfId="5" applyNumberFormat="1" applyBorder="1"/>
    <xf numFmtId="9" fontId="21" fillId="0" borderId="0" xfId="5" applyNumberFormat="1" applyFont="1"/>
    <xf numFmtId="10" fontId="21" fillId="0" borderId="0" xfId="5" applyNumberFormat="1" applyFont="1"/>
    <xf numFmtId="2" fontId="1" fillId="0" borderId="3" xfId="5" applyNumberFormat="1" applyBorder="1"/>
    <xf numFmtId="2" fontId="1" fillId="0" borderId="4" xfId="5" applyNumberFormat="1" applyBorder="1"/>
    <xf numFmtId="10" fontId="1" fillId="0" borderId="4" xfId="5" applyNumberFormat="1" applyBorder="1"/>
    <xf numFmtId="0" fontId="19" fillId="0" borderId="3" xfId="5" applyFont="1" applyBorder="1"/>
    <xf numFmtId="2" fontId="1" fillId="12" borderId="0" xfId="5" applyNumberFormat="1" applyFill="1"/>
    <xf numFmtId="2" fontId="21" fillId="0" borderId="0" xfId="5" applyNumberFormat="1" applyFont="1"/>
    <xf numFmtId="10" fontId="1" fillId="12" borderId="0" xfId="6" applyNumberFormat="1" applyFont="1" applyFill="1"/>
    <xf numFmtId="10" fontId="1" fillId="12" borderId="0" xfId="6" applyNumberFormat="1" applyFont="1" applyFill="1" applyAlignment="1">
      <alignment horizontal="right"/>
    </xf>
    <xf numFmtId="10" fontId="21" fillId="0" borderId="0" xfId="6" applyNumberFormat="1" applyFont="1"/>
    <xf numFmtId="172" fontId="21" fillId="0" borderId="0" xfId="5" applyNumberFormat="1" applyFont="1"/>
    <xf numFmtId="0" fontId="21" fillId="0" borderId="0" xfId="5" applyFont="1"/>
    <xf numFmtId="0" fontId="1" fillId="0" borderId="4" xfId="5" applyBorder="1"/>
    <xf numFmtId="0" fontId="1" fillId="13" borderId="0" xfId="5" applyFill="1"/>
    <xf numFmtId="0" fontId="24" fillId="13" borderId="0" xfId="5" applyFont="1" applyFill="1"/>
    <xf numFmtId="14" fontId="1" fillId="0" borderId="0" xfId="5" applyNumberFormat="1" applyAlignment="1">
      <alignment horizontal="left"/>
    </xf>
    <xf numFmtId="0" fontId="1" fillId="0" borderId="6" xfId="5" applyBorder="1"/>
    <xf numFmtId="0" fontId="25" fillId="0" borderId="7" xfId="5" applyFont="1" applyBorder="1" applyAlignment="1">
      <alignment horizontal="center"/>
    </xf>
    <xf numFmtId="0" fontId="1" fillId="12" borderId="0" xfId="5" applyFill="1"/>
    <xf numFmtId="0" fontId="25" fillId="0" borderId="7" xfId="5" applyFont="1" applyBorder="1" applyAlignment="1">
      <alignment horizontal="centerContinuous"/>
    </xf>
    <xf numFmtId="2" fontId="0" fillId="0" borderId="0" xfId="6" applyNumberFormat="1" applyFont="1"/>
    <xf numFmtId="0" fontId="18" fillId="4" borderId="0" xfId="5" applyFont="1" applyFill="1" applyAlignment="1">
      <alignment horizontal="center"/>
    </xf>
    <xf numFmtId="0" fontId="18" fillId="15" borderId="0" xfId="5" applyFont="1" applyFill="1"/>
    <xf numFmtId="0" fontId="1" fillId="15" borderId="0" xfId="5" applyFill="1"/>
    <xf numFmtId="0" fontId="1" fillId="0" borderId="0" xfId="5" applyAlignment="1">
      <alignment horizontal="left"/>
    </xf>
    <xf numFmtId="1" fontId="1" fillId="0" borderId="0" xfId="5" applyNumberFormat="1"/>
    <xf numFmtId="0" fontId="20" fillId="4" borderId="0" xfId="5" applyFont="1" applyFill="1" applyAlignment="1">
      <alignment horizontal="center"/>
    </xf>
    <xf numFmtId="0" fontId="6" fillId="15" borderId="4" xfId="0" applyFont="1" applyFill="1" applyBorder="1"/>
    <xf numFmtId="17" fontId="27" fillId="15" borderId="4" xfId="0" applyNumberFormat="1" applyFont="1" applyFill="1" applyBorder="1" applyAlignment="1">
      <alignment horizontal="right" vertical="center" wrapText="1" indent="1"/>
    </xf>
    <xf numFmtId="17" fontId="27" fillId="4" borderId="0" xfId="0" applyNumberFormat="1" applyFont="1" applyFill="1" applyAlignment="1">
      <alignment horizontal="right" vertical="center" wrapText="1" indent="1"/>
    </xf>
    <xf numFmtId="3" fontId="2" fillId="0" borderId="0" xfId="0" applyNumberFormat="1" applyFont="1"/>
    <xf numFmtId="3" fontId="2" fillId="0" borderId="2" xfId="0" applyNumberFormat="1" applyFont="1" applyBorder="1"/>
    <xf numFmtId="178" fontId="2" fillId="0" borderId="9" xfId="0" applyNumberFormat="1" applyFont="1" applyBorder="1"/>
    <xf numFmtId="178" fontId="0" fillId="0" borderId="9" xfId="0" applyNumberFormat="1" applyBorder="1"/>
    <xf numFmtId="178" fontId="0" fillId="0" borderId="0" xfId="0" applyNumberFormat="1"/>
    <xf numFmtId="178" fontId="0" fillId="0" borderId="5" xfId="0" applyNumberFormat="1" applyBorder="1"/>
    <xf numFmtId="178" fontId="2" fillId="0" borderId="2" xfId="0" applyNumberFormat="1" applyFont="1" applyBorder="1"/>
    <xf numFmtId="178" fontId="2" fillId="0" borderId="8" xfId="0" applyNumberFormat="1" applyFont="1" applyBorder="1"/>
    <xf numFmtId="0" fontId="2" fillId="0" borderId="3" xfId="0" applyFont="1" applyBorder="1"/>
    <xf numFmtId="178" fontId="2" fillId="0" borderId="3" xfId="0" applyNumberFormat="1" applyFont="1" applyBorder="1"/>
    <xf numFmtId="178" fontId="2" fillId="0" borderId="0" xfId="0" applyNumberFormat="1" applyFont="1"/>
    <xf numFmtId="3" fontId="2" fillId="0" borderId="8" xfId="0" applyNumberFormat="1" applyFont="1" applyBorder="1"/>
    <xf numFmtId="17" fontId="26" fillId="7" borderId="2" xfId="0" applyNumberFormat="1" applyFont="1" applyFill="1" applyBorder="1" applyAlignment="1">
      <alignment horizontal="right" vertical="center" wrapText="1" indent="1"/>
    </xf>
    <xf numFmtId="179" fontId="28" fillId="7" borderId="3" xfId="0" applyNumberFormat="1" applyFont="1" applyFill="1" applyBorder="1" applyAlignment="1">
      <alignment horizontal="right" vertical="center" wrapText="1" indent="1"/>
    </xf>
    <xf numFmtId="179" fontId="0" fillId="7" borderId="3" xfId="0" applyNumberFormat="1" applyFill="1" applyBorder="1"/>
    <xf numFmtId="179" fontId="26" fillId="8" borderId="0" xfId="0" applyNumberFormat="1" applyFont="1" applyFill="1" applyAlignment="1">
      <alignment horizontal="left" vertical="center" indent="2"/>
    </xf>
    <xf numFmtId="179" fontId="26" fillId="8" borderId="0" xfId="0" applyNumberFormat="1" applyFont="1" applyFill="1" applyAlignment="1">
      <alignment horizontal="right" vertical="center" wrapText="1" indent="1"/>
    </xf>
    <xf numFmtId="179" fontId="14" fillId="8" borderId="0" xfId="0" applyNumberFormat="1" applyFont="1" applyFill="1" applyAlignment="1">
      <alignment horizontal="right" vertical="center" wrapText="1" indent="1"/>
    </xf>
    <xf numFmtId="179" fontId="28" fillId="8" borderId="0" xfId="0" applyNumberFormat="1" applyFont="1" applyFill="1" applyAlignment="1">
      <alignment horizontal="left" vertical="center"/>
    </xf>
    <xf numFmtId="179" fontId="28" fillId="8" borderId="0" xfId="0" applyNumberFormat="1" applyFont="1" applyFill="1" applyAlignment="1">
      <alignment horizontal="right" vertical="center" wrapText="1" indent="1"/>
    </xf>
    <xf numFmtId="179" fontId="11" fillId="8" borderId="0" xfId="0" applyNumberFormat="1" applyFont="1" applyFill="1" applyAlignment="1">
      <alignment horizontal="right" vertical="center" wrapText="1" indent="1"/>
    </xf>
    <xf numFmtId="179" fontId="12" fillId="8" borderId="0" xfId="0" applyNumberFormat="1" applyFont="1" applyFill="1" applyAlignment="1">
      <alignment horizontal="right" vertical="center" wrapText="1" indent="1"/>
    </xf>
    <xf numFmtId="179" fontId="26" fillId="7" borderId="0" xfId="0" applyNumberFormat="1" applyFont="1" applyFill="1" applyAlignment="1">
      <alignment horizontal="left" vertical="center" indent="2"/>
    </xf>
    <xf numFmtId="179" fontId="26" fillId="7" borderId="0" xfId="0" applyNumberFormat="1" applyFont="1" applyFill="1" applyAlignment="1">
      <alignment horizontal="right" vertical="center" wrapText="1" indent="1"/>
    </xf>
    <xf numFmtId="179" fontId="14" fillId="7" borderId="0" xfId="0" applyNumberFormat="1" applyFont="1" applyFill="1" applyAlignment="1">
      <alignment horizontal="right" vertical="center" wrapText="1" indent="1"/>
    </xf>
    <xf numFmtId="179" fontId="28" fillId="7" borderId="0" xfId="0" applyNumberFormat="1" applyFont="1" applyFill="1" applyAlignment="1">
      <alignment horizontal="left" vertical="center"/>
    </xf>
    <xf numFmtId="179" fontId="28" fillId="7" borderId="0" xfId="0" applyNumberFormat="1" applyFont="1" applyFill="1" applyAlignment="1">
      <alignment horizontal="right" vertical="center" wrapText="1" indent="1"/>
    </xf>
    <xf numFmtId="179" fontId="12" fillId="7" borderId="0" xfId="0" applyNumberFormat="1" applyFont="1" applyFill="1" applyAlignment="1">
      <alignment horizontal="right" vertical="center" wrapText="1" indent="1"/>
    </xf>
    <xf numFmtId="179" fontId="28" fillId="7" borderId="0" xfId="0" applyNumberFormat="1" applyFont="1" applyFill="1" applyAlignment="1">
      <alignment horizontal="left" vertical="center" indent="2"/>
    </xf>
    <xf numFmtId="179" fontId="11" fillId="7" borderId="0" xfId="0" applyNumberFormat="1" applyFont="1" applyFill="1" applyAlignment="1">
      <alignment horizontal="right" vertical="center" wrapText="1" indent="1"/>
    </xf>
    <xf numFmtId="179" fontId="28" fillId="8" borderId="0" xfId="0" applyNumberFormat="1" applyFont="1" applyFill="1" applyAlignment="1">
      <alignment horizontal="left" vertical="center" indent="2"/>
    </xf>
    <xf numFmtId="179" fontId="13" fillId="8" borderId="0" xfId="0" applyNumberFormat="1" applyFont="1" applyFill="1" applyAlignment="1">
      <alignment horizontal="right" vertical="center" wrapText="1" indent="1"/>
    </xf>
    <xf numFmtId="179" fontId="28" fillId="7" borderId="4" xfId="0" applyNumberFormat="1" applyFont="1" applyFill="1" applyBorder="1" applyAlignment="1">
      <alignment horizontal="left" vertical="center" indent="2"/>
    </xf>
    <xf numFmtId="179" fontId="28" fillId="7" borderId="4" xfId="0" applyNumberFormat="1" applyFont="1" applyFill="1" applyBorder="1" applyAlignment="1">
      <alignment horizontal="right" vertical="center" wrapText="1" indent="1"/>
    </xf>
    <xf numFmtId="179" fontId="13" fillId="7" borderId="4" xfId="0" applyNumberFormat="1" applyFont="1" applyFill="1" applyBorder="1" applyAlignment="1">
      <alignment horizontal="right" vertical="center" wrapText="1" indent="1"/>
    </xf>
    <xf numFmtId="0" fontId="18" fillId="15" borderId="0" xfId="5" applyFont="1" applyFill="1" applyAlignment="1">
      <alignment horizontal="center"/>
    </xf>
    <xf numFmtId="0" fontId="20" fillId="14" borderId="0" xfId="5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43" fontId="6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5" fillId="0" borderId="0" xfId="2" applyNumberFormat="1" applyBorder="1" applyAlignment="1" applyProtection="1">
      <alignment horizontal="center"/>
    </xf>
    <xf numFmtId="43" fontId="3" fillId="2" borderId="0" xfId="3" applyNumberFormat="1" applyFont="1" applyBorder="1" applyAlignment="1">
      <alignment horizontal="center"/>
    </xf>
    <xf numFmtId="0" fontId="20" fillId="15" borderId="0" xfId="5" applyFont="1" applyFill="1" applyAlignment="1">
      <alignment horizontal="center"/>
    </xf>
  </cellXfs>
  <cellStyles count="7">
    <cellStyle name="Accent6" xfId="3" builtinId="49"/>
    <cellStyle name="Comma" xfId="1" builtinId="3"/>
    <cellStyle name="Hyperlink" xfId="2" builtinId="8"/>
    <cellStyle name="Normal" xfId="0" builtinId="0"/>
    <cellStyle name="Normal 2" xfId="5" xr:uid="{DB8786E0-1A8F-4DA9-A477-0593ED0E1C5F}"/>
    <cellStyle name="Percent" xfId="4" builtinId="5"/>
    <cellStyle name="Percent 2" xfId="6" xr:uid="{E0E0564C-586A-4265-96C3-689403E25A6A}"/>
  </cellStyles>
  <dxfs count="2">
    <dxf>
      <font>
        <b/>
        <i val="0"/>
        <color theme="0"/>
      </font>
      <fill>
        <patternFill>
          <bgColor theme="5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000066"/>
      <color rgb="FFF8F8F8"/>
      <color rgb="FF000099"/>
      <color rgb="FF0275D8"/>
      <color rgb="FFA3E7FF"/>
      <color rgb="FF66CC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Forecasting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Forecasting!$D$4:$D$17</c:f>
              <c:numCache>
                <c:formatCode>#,##0.00</c:formatCode>
                <c:ptCount val="14"/>
                <c:pt idx="0">
                  <c:v>303954</c:v>
                </c:pt>
                <c:pt idx="1">
                  <c:v>390823</c:v>
                </c:pt>
                <c:pt idx="2">
                  <c:v>568337</c:v>
                </c:pt>
                <c:pt idx="3">
                  <c:v>596679</c:v>
                </c:pt>
                <c:pt idx="4">
                  <c:v>466307</c:v>
                </c:pt>
                <c:pt idx="5">
                  <c:v>694673</c:v>
                </c:pt>
                <c:pt idx="6">
                  <c:v>876396</c:v>
                </c:pt>
                <c:pt idx="7">
                  <c:v>899041</c:v>
                </c:pt>
                <c:pt idx="8">
                  <c:v>962820</c:v>
                </c:pt>
                <c:pt idx="9">
                  <c:v>1057219</c:v>
                </c:pt>
                <c:pt idx="10">
                  <c:v>1131771.6000000001</c:v>
                </c:pt>
                <c:pt idx="11">
                  <c:v>1213616.4545454546</c:v>
                </c:pt>
                <c:pt idx="12">
                  <c:v>1295461.3090909091</c:v>
                </c:pt>
                <c:pt idx="13">
                  <c:v>1377306.1636363636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BE-4741-8BC6-4A83A1EA6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192544"/>
        <c:axId val="2107180464"/>
      </c:scatterChart>
      <c:valAx>
        <c:axId val="209819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180464"/>
        <c:crosses val="autoZero"/>
        <c:crossBetween val="midCat"/>
      </c:valAx>
      <c:valAx>
        <c:axId val="210718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19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Forecasting!$I$4</c:f>
              <c:strCache>
                <c:ptCount val="1"/>
                <c:pt idx="0">
                  <c:v>₹ 55,529.00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Forecasting!$I$5:$I$17</c:f>
              <c:numCache>
                <c:formatCode>"₹"\ #,##0.00</c:formatCode>
                <c:ptCount val="13"/>
                <c:pt idx="0">
                  <c:v>74184</c:v>
                </c:pt>
                <c:pt idx="1">
                  <c:v>92656</c:v>
                </c:pt>
                <c:pt idx="2">
                  <c:v>97836</c:v>
                </c:pt>
                <c:pt idx="3">
                  <c:v>103222</c:v>
                </c:pt>
                <c:pt idx="4">
                  <c:v>128181</c:v>
                </c:pt>
                <c:pt idx="5">
                  <c:v>154338</c:v>
                </c:pt>
                <c:pt idx="6">
                  <c:v>178290</c:v>
                </c:pt>
                <c:pt idx="7">
                  <c:v>183422</c:v>
                </c:pt>
                <c:pt idx="8">
                  <c:v>207911</c:v>
                </c:pt>
                <c:pt idx="9">
                  <c:v>219514.86666666664</c:v>
                </c:pt>
                <c:pt idx="10">
                  <c:v>237090.61333333334</c:v>
                </c:pt>
                <c:pt idx="11">
                  <c:v>255738.93422222222</c:v>
                </c:pt>
                <c:pt idx="12">
                  <c:v>275912.00924444443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C5-4021-834B-4D838690A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295472"/>
        <c:axId val="2107221744"/>
      </c:scatterChart>
      <c:valAx>
        <c:axId val="28729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221744"/>
        <c:crosses val="autoZero"/>
        <c:crossBetween val="midCat"/>
      </c:valAx>
      <c:valAx>
        <c:axId val="210722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29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52387</xdr:rowOff>
    </xdr:from>
    <xdr:to>
      <xdr:col>6</xdr:col>
      <xdr:colOff>723900</xdr:colOff>
      <xdr:row>31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0EEA65-2830-A4DF-09EA-BA2DFB296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38099</xdr:colOff>
      <xdr:row>18</xdr:row>
      <xdr:rowOff>42862</xdr:rowOff>
    </xdr:from>
    <xdr:to>
      <xdr:col>13</xdr:col>
      <xdr:colOff>523874</xdr:colOff>
      <xdr:row>31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AB9897-A987-17D7-9D4A-A5FDDBFBA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0AD07-8541-4EB9-9059-2EB64A7E5169}">
  <sheetPr>
    <tabColor theme="3" tint="9.9978637043366805E-2"/>
  </sheetPr>
  <dimension ref="A1"/>
  <sheetViews>
    <sheetView workbookViewId="0">
      <selection activeCell="E23" sqref="E23"/>
    </sheetView>
  </sheetViews>
  <sheetFormatPr defaultRowHeight="15" x14ac:dyDescent="0.25"/>
  <cols>
    <col min="1" max="16384" width="9.140625" style="82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3604-8722-4A32-98C7-A94819CD3C7F}">
  <dimension ref="B2:L43"/>
  <sheetViews>
    <sheetView showGridLines="0" zoomScale="80" zoomScaleNormal="80" workbookViewId="0">
      <selection activeCell="E23" sqref="E23"/>
    </sheetView>
  </sheetViews>
  <sheetFormatPr defaultRowHeight="15" x14ac:dyDescent="0.25"/>
  <cols>
    <col min="1" max="1" width="2.7109375" style="82" customWidth="1"/>
    <col min="2" max="2" width="41.5703125" style="82" bestFit="1" customWidth="1"/>
    <col min="3" max="3" width="8.5703125" style="82" bestFit="1" customWidth="1"/>
    <col min="4" max="4" width="9.85546875" style="82" bestFit="1" customWidth="1"/>
    <col min="5" max="5" width="10.28515625" style="82" bestFit="1" customWidth="1"/>
    <col min="6" max="6" width="11.5703125" style="82" bestFit="1" customWidth="1"/>
    <col min="7" max="7" width="31.5703125" style="82" bestFit="1" customWidth="1"/>
    <col min="8" max="8" width="9" style="82" bestFit="1" customWidth="1"/>
    <col min="9" max="9" width="7.7109375" style="82" bestFit="1" customWidth="1"/>
    <col min="10" max="10" width="8.28515625" style="82" bestFit="1" customWidth="1"/>
    <col min="11" max="11" width="10.42578125" style="82" bestFit="1" customWidth="1"/>
    <col min="12" max="12" width="12.5703125" style="82" bestFit="1" customWidth="1"/>
    <col min="13" max="13" width="12.28515625" style="82" bestFit="1" customWidth="1"/>
    <col min="14" max="16384" width="9.140625" style="82"/>
  </cols>
  <sheetData>
    <row r="2" spans="2:12" ht="18.75" x14ac:dyDescent="0.3">
      <c r="B2" s="118" t="s">
        <v>159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</row>
    <row r="4" spans="2:12" x14ac:dyDescent="0.25">
      <c r="B4" s="82" t="s">
        <v>204</v>
      </c>
    </row>
    <row r="6" spans="2:12" x14ac:dyDescent="0.25">
      <c r="B6" s="82" t="s">
        <v>203</v>
      </c>
    </row>
    <row r="7" spans="2:12" x14ac:dyDescent="0.25">
      <c r="B7" s="85"/>
      <c r="C7" s="85"/>
      <c r="D7" s="85"/>
      <c r="E7" s="85"/>
      <c r="F7" s="85"/>
      <c r="G7" s="85"/>
      <c r="H7" s="85"/>
      <c r="I7" s="85" t="s">
        <v>202</v>
      </c>
      <c r="J7" s="85" t="s">
        <v>202</v>
      </c>
      <c r="K7" s="85" t="s">
        <v>201</v>
      </c>
      <c r="L7" s="85" t="s">
        <v>200</v>
      </c>
    </row>
    <row r="8" spans="2:12" ht="17.25" x14ac:dyDescent="0.25">
      <c r="B8" s="116" t="s">
        <v>199</v>
      </c>
      <c r="C8" s="116"/>
      <c r="D8" s="116"/>
      <c r="E8" s="116" t="s">
        <v>198</v>
      </c>
      <c r="F8" s="116" t="s">
        <v>174</v>
      </c>
      <c r="G8" s="116" t="s">
        <v>197</v>
      </c>
      <c r="H8" s="116" t="s">
        <v>196</v>
      </c>
      <c r="I8" s="116" t="s">
        <v>161</v>
      </c>
      <c r="J8" s="116" t="s">
        <v>195</v>
      </c>
      <c r="K8" s="116" t="s">
        <v>194</v>
      </c>
      <c r="L8" s="116" t="s">
        <v>193</v>
      </c>
    </row>
    <row r="10" spans="2:12" x14ac:dyDescent="0.25">
      <c r="B10" s="115" t="s">
        <v>192</v>
      </c>
      <c r="C10" s="115"/>
      <c r="D10" s="115"/>
      <c r="E10" s="115" t="s">
        <v>187</v>
      </c>
      <c r="F10" s="114">
        <v>398000</v>
      </c>
      <c r="G10" s="114">
        <v>13532</v>
      </c>
      <c r="H10" s="113">
        <v>0.3</v>
      </c>
      <c r="I10" s="112">
        <v>0.44</v>
      </c>
      <c r="J10" s="111">
        <f>F10/(F10+G10)</f>
        <v>0.96711798839458418</v>
      </c>
      <c r="K10" s="110">
        <v>1.1200000000000001</v>
      </c>
      <c r="L10" s="109">
        <f>K10/(1+(1-H10)*I10)</f>
        <v>0.85626911314984711</v>
      </c>
    </row>
    <row r="11" spans="2:12" x14ac:dyDescent="0.25">
      <c r="B11" s="115" t="s">
        <v>191</v>
      </c>
      <c r="C11" s="115"/>
      <c r="D11" s="115"/>
      <c r="E11" s="115" t="s">
        <v>187</v>
      </c>
      <c r="F11" s="114">
        <v>176017.8</v>
      </c>
      <c r="G11" s="114">
        <v>6290.14</v>
      </c>
      <c r="H11" s="113">
        <v>0.3</v>
      </c>
      <c r="I11" s="112">
        <v>0.48</v>
      </c>
      <c r="J11" s="111">
        <f>F11/(F11+G11)</f>
        <v>0.96549716924013285</v>
      </c>
      <c r="K11" s="110">
        <v>0.72599999999999998</v>
      </c>
      <c r="L11" s="109">
        <f>K11/(1+(1-H11)*I11)</f>
        <v>0.5434131736526947</v>
      </c>
    </row>
    <row r="12" spans="2:12" x14ac:dyDescent="0.25">
      <c r="B12" s="115" t="s">
        <v>190</v>
      </c>
      <c r="C12" s="115"/>
      <c r="D12" s="115"/>
      <c r="E12" s="115" t="s">
        <v>187</v>
      </c>
      <c r="F12" s="114">
        <v>14072.18</v>
      </c>
      <c r="G12" s="114">
        <v>6162.73</v>
      </c>
      <c r="H12" s="113">
        <v>0.3</v>
      </c>
      <c r="I12" s="112">
        <v>0.12</v>
      </c>
      <c r="J12" s="111">
        <f>F12/(F12+G12)</f>
        <v>0.69544070124354396</v>
      </c>
      <c r="K12" s="110">
        <v>1.1100000000000001</v>
      </c>
      <c r="L12" s="109">
        <f>K12/(1+(1-H12)*I12)</f>
        <v>1.0239852398523985</v>
      </c>
    </row>
    <row r="13" spans="2:12" x14ac:dyDescent="0.25">
      <c r="B13" s="115" t="s">
        <v>189</v>
      </c>
      <c r="C13" s="115"/>
      <c r="D13" s="115"/>
      <c r="E13" s="115" t="s">
        <v>187</v>
      </c>
      <c r="F13" s="114">
        <v>131822.39000000001</v>
      </c>
      <c r="G13" s="114">
        <v>13771.56</v>
      </c>
      <c r="H13" s="113">
        <v>0.3</v>
      </c>
      <c r="I13" s="112">
        <v>0.6</v>
      </c>
      <c r="J13" s="111">
        <f>F13/(F13+G13)</f>
        <v>0.90541117951673133</v>
      </c>
      <c r="K13" s="110">
        <v>0.84</v>
      </c>
      <c r="L13" s="109">
        <f>K13/(1+(1-H13)*I13)</f>
        <v>0.59154929577464788</v>
      </c>
    </row>
    <row r="14" spans="2:12" x14ac:dyDescent="0.25">
      <c r="B14" s="115" t="s">
        <v>188</v>
      </c>
      <c r="C14" s="115"/>
      <c r="D14" s="115"/>
      <c r="E14" s="115" t="s">
        <v>187</v>
      </c>
      <c r="F14" s="114">
        <v>54424.42</v>
      </c>
      <c r="G14" s="114">
        <v>4272.58</v>
      </c>
      <c r="H14" s="113">
        <v>0.3</v>
      </c>
      <c r="I14" s="112">
        <v>0.54</v>
      </c>
      <c r="J14" s="111">
        <f>F14/(F14+G14)</f>
        <v>0.9272095677802954</v>
      </c>
      <c r="K14" s="110">
        <v>0.74</v>
      </c>
      <c r="L14" s="109">
        <f>K14/(1+(1-H14)*I14)</f>
        <v>0.53701015965166898</v>
      </c>
    </row>
    <row r="16" spans="2:12" x14ac:dyDescent="0.25">
      <c r="G16" s="108" t="s">
        <v>186</v>
      </c>
      <c r="H16" s="92">
        <f>AVERAGE(H10:H14)</f>
        <v>0.3</v>
      </c>
      <c r="I16" s="92">
        <f>AVERAGE(I10:I14)</f>
        <v>0.43600000000000005</v>
      </c>
      <c r="J16" s="92">
        <f>AVERAGE(J10:J14)</f>
        <v>0.89213532123505745</v>
      </c>
      <c r="K16" s="105">
        <f>AVERAGE(K10:K14)</f>
        <v>0.90720000000000012</v>
      </c>
      <c r="L16" s="105">
        <f>AVERAGE(L10:L14)</f>
        <v>0.71044539641625148</v>
      </c>
    </row>
    <row r="17" spans="2:12" x14ac:dyDescent="0.25">
      <c r="G17" s="87" t="s">
        <v>147</v>
      </c>
      <c r="H17" s="107">
        <f>MEDIAN(H10:H14)</f>
        <v>0.3</v>
      </c>
      <c r="I17" s="107">
        <f>MEDIAN(I10:I14)</f>
        <v>0.48</v>
      </c>
      <c r="J17" s="107">
        <f>MEDIAN(J10:J14)</f>
        <v>0.9272095677802954</v>
      </c>
      <c r="K17" s="106">
        <f>MEDIAN(K10:K14)</f>
        <v>0.84</v>
      </c>
      <c r="L17" s="105">
        <f>MEDIAN(L10:L14)</f>
        <v>0.59154929577464788</v>
      </c>
    </row>
    <row r="21" spans="2:12" x14ac:dyDescent="0.25">
      <c r="B21" s="89" t="s">
        <v>185</v>
      </c>
      <c r="C21" s="89"/>
      <c r="D21" s="99"/>
      <c r="E21" s="99"/>
      <c r="G21" s="89" t="s">
        <v>179</v>
      </c>
      <c r="H21" s="99"/>
      <c r="I21" s="99"/>
      <c r="J21" s="99"/>
      <c r="K21" s="99"/>
      <c r="L21" s="99"/>
    </row>
    <row r="23" spans="2:12" x14ac:dyDescent="0.25">
      <c r="B23" s="82" t="s">
        <v>184</v>
      </c>
      <c r="E23" s="104">
        <v>6.7900000000000002E-2</v>
      </c>
      <c r="G23" s="82" t="s">
        <v>183</v>
      </c>
      <c r="L23" s="86">
        <v>7.1099999999999997E-2</v>
      </c>
    </row>
    <row r="24" spans="2:12" x14ac:dyDescent="0.25">
      <c r="B24" s="82" t="s">
        <v>171</v>
      </c>
      <c r="E24" s="103">
        <v>0.3</v>
      </c>
      <c r="G24" s="82" t="s">
        <v>182</v>
      </c>
      <c r="L24" s="86">
        <f>'Market Return'!G7-WACC!L23</f>
        <v>8.0392307692307707E-2</v>
      </c>
    </row>
    <row r="25" spans="2:12" ht="17.25" x14ac:dyDescent="0.25">
      <c r="B25" s="101" t="s">
        <v>181</v>
      </c>
      <c r="C25" s="101"/>
      <c r="D25" s="101"/>
      <c r="E25" s="102">
        <f>E23*(1-E24)</f>
        <v>4.7529999999999996E-2</v>
      </c>
      <c r="G25" s="82" t="s">
        <v>180</v>
      </c>
      <c r="L25" s="97">
        <f>IFERROR(Beta!L12,0)</f>
        <v>1.0872890370716752</v>
      </c>
    </row>
    <row r="26" spans="2:12" x14ac:dyDescent="0.25">
      <c r="G26" s="101" t="s">
        <v>179</v>
      </c>
      <c r="H26" s="101"/>
      <c r="I26" s="101"/>
      <c r="J26" s="101"/>
      <c r="K26" s="101"/>
      <c r="L26" s="100">
        <f>L23+L24*L25</f>
        <v>0.15850967481873907</v>
      </c>
    </row>
    <row r="30" spans="2:12" x14ac:dyDescent="0.25">
      <c r="B30" s="89" t="s">
        <v>178</v>
      </c>
      <c r="C30" s="89"/>
      <c r="D30" s="99"/>
      <c r="E30" s="99"/>
      <c r="G30" s="89" t="s">
        <v>169</v>
      </c>
      <c r="H30" s="89"/>
      <c r="I30" s="89"/>
      <c r="J30" s="89"/>
      <c r="K30" s="89"/>
      <c r="L30" s="89"/>
    </row>
    <row r="32" spans="2:12" x14ac:dyDescent="0.25">
      <c r="D32" s="98" t="s">
        <v>177</v>
      </c>
      <c r="E32" s="98" t="s">
        <v>176</v>
      </c>
      <c r="G32" s="82" t="s">
        <v>175</v>
      </c>
      <c r="L32" s="97">
        <f>L17</f>
        <v>0.59154929577464788</v>
      </c>
    </row>
    <row r="33" spans="2:12" x14ac:dyDescent="0.25">
      <c r="B33" s="82" t="s">
        <v>174</v>
      </c>
      <c r="C33" s="96">
        <f>F10</f>
        <v>398000</v>
      </c>
      <c r="D33" s="95">
        <f>C33/$C$35</f>
        <v>0.96711798839458418</v>
      </c>
      <c r="E33" s="86">
        <f>J17</f>
        <v>0.9272095677802954</v>
      </c>
      <c r="G33" s="82" t="s">
        <v>173</v>
      </c>
      <c r="L33" s="86">
        <f>E37</f>
        <v>12.738069269621629</v>
      </c>
    </row>
    <row r="34" spans="2:12" x14ac:dyDescent="0.25">
      <c r="B34" s="82" t="s">
        <v>172</v>
      </c>
      <c r="C34" s="96">
        <f>G10</f>
        <v>13532</v>
      </c>
      <c r="D34" s="95">
        <f>C34/$C$35</f>
        <v>3.2882011605415859E-2</v>
      </c>
      <c r="E34" s="86">
        <f>E35-E33</f>
        <v>7.2790432219704604E-2</v>
      </c>
      <c r="G34" s="82" t="s">
        <v>171</v>
      </c>
      <c r="L34" s="94">
        <f>E24</f>
        <v>0.3</v>
      </c>
    </row>
    <row r="35" spans="2:12" x14ac:dyDescent="0.25">
      <c r="B35" s="85" t="s">
        <v>170</v>
      </c>
      <c r="C35" s="93">
        <f>SUM(C33,C34)</f>
        <v>411532</v>
      </c>
      <c r="D35" s="84">
        <f>C35/$C$35</f>
        <v>1</v>
      </c>
      <c r="E35" s="92">
        <f>D35</f>
        <v>1</v>
      </c>
      <c r="G35" s="85" t="s">
        <v>169</v>
      </c>
      <c r="H35" s="85"/>
      <c r="I35" s="85"/>
      <c r="J35" s="85"/>
      <c r="K35" s="85"/>
      <c r="L35" s="91">
        <f>L32*(1+(1-L34)*L33)</f>
        <v>5.8661864299559978</v>
      </c>
    </row>
    <row r="37" spans="2:12" x14ac:dyDescent="0.25">
      <c r="B37" s="82" t="s">
        <v>168</v>
      </c>
      <c r="D37" s="90">
        <f>D33/D34</f>
        <v>29.411764705882355</v>
      </c>
      <c r="E37" s="90">
        <f>E33/E34</f>
        <v>12.738069269621629</v>
      </c>
      <c r="G37" s="89" t="s">
        <v>159</v>
      </c>
      <c r="H37" s="89"/>
      <c r="I37" s="89"/>
      <c r="J37" s="89"/>
      <c r="K37" s="89"/>
      <c r="L37" s="89"/>
    </row>
    <row r="38" spans="2:12" x14ac:dyDescent="0.25">
      <c r="G38" s="88"/>
    </row>
    <row r="39" spans="2:12" x14ac:dyDescent="0.25">
      <c r="B39" s="83" t="s">
        <v>167</v>
      </c>
      <c r="K39" s="87" t="s">
        <v>166</v>
      </c>
      <c r="L39" s="87" t="s">
        <v>165</v>
      </c>
    </row>
    <row r="40" spans="2:12" x14ac:dyDescent="0.25">
      <c r="B40" s="83" t="s">
        <v>164</v>
      </c>
      <c r="C40" s="83"/>
      <c r="D40" s="83"/>
      <c r="G40" s="82" t="s">
        <v>163</v>
      </c>
      <c r="K40" s="86">
        <f>E25</f>
        <v>4.7529999999999996E-2</v>
      </c>
      <c r="L40" s="86">
        <f>E33</f>
        <v>0.9272095677802954</v>
      </c>
    </row>
    <row r="41" spans="2:12" x14ac:dyDescent="0.25">
      <c r="B41" s="83" t="s">
        <v>162</v>
      </c>
      <c r="C41" s="83"/>
      <c r="D41" s="83"/>
      <c r="G41" s="82" t="s">
        <v>161</v>
      </c>
      <c r="K41" s="86">
        <f>L26</f>
        <v>0.15850967481873907</v>
      </c>
      <c r="L41" s="86">
        <f>E34</f>
        <v>7.2790432219704604E-2</v>
      </c>
    </row>
    <row r="42" spans="2:12" x14ac:dyDescent="0.25">
      <c r="B42" s="83" t="s">
        <v>160</v>
      </c>
      <c r="C42" s="83"/>
      <c r="D42" s="83"/>
      <c r="G42" s="85" t="s">
        <v>159</v>
      </c>
      <c r="H42" s="85"/>
      <c r="I42" s="85"/>
      <c r="J42" s="85"/>
      <c r="K42" s="85"/>
      <c r="L42" s="84">
        <f>SUMPRODUCT(K40:K41,L40:L41)</f>
        <v>5.5608258497658283E-2</v>
      </c>
    </row>
    <row r="43" spans="2:12" x14ac:dyDescent="0.25">
      <c r="B43" s="83" t="s">
        <v>158</v>
      </c>
      <c r="C43" s="83"/>
      <c r="D43" s="8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BC21-EC59-40A5-BE11-BCE9DD6A9ED5}">
  <dimension ref="B2:W111"/>
  <sheetViews>
    <sheetView showGridLines="0" workbookViewId="0">
      <selection activeCell="E23" sqref="E23"/>
    </sheetView>
  </sheetViews>
  <sheetFormatPr defaultRowHeight="15" x14ac:dyDescent="0.25"/>
  <cols>
    <col min="1" max="1" width="9.140625" style="82"/>
    <col min="2" max="3" width="11.5703125" style="82" bestFit="1" customWidth="1"/>
    <col min="4" max="4" width="16.7109375" style="82" bestFit="1" customWidth="1"/>
    <col min="5" max="5" width="16.7109375" style="82" customWidth="1"/>
    <col min="6" max="6" width="10.42578125" style="82" bestFit="1" customWidth="1"/>
    <col min="7" max="7" width="9.28515625" style="82" bestFit="1" customWidth="1"/>
    <col min="8" max="8" width="14.42578125" style="82" bestFit="1" customWidth="1"/>
    <col min="9" max="10" width="9.140625" style="82"/>
    <col min="11" max="11" width="19.28515625" style="82" customWidth="1"/>
    <col min="12" max="12" width="10.28515625" style="82" customWidth="1"/>
    <col min="13" max="14" width="9.140625" style="82"/>
    <col min="15" max="15" width="18" style="82" bestFit="1" customWidth="1"/>
    <col min="16" max="16" width="12.7109375" style="82" bestFit="1" customWidth="1"/>
    <col min="17" max="17" width="14.5703125" style="82" bestFit="1" customWidth="1"/>
    <col min="18" max="18" width="12.7109375" style="82" bestFit="1" customWidth="1"/>
    <col min="19" max="19" width="12" style="82" bestFit="1" customWidth="1"/>
    <col min="20" max="20" width="13.42578125" style="82" bestFit="1" customWidth="1"/>
    <col min="21" max="21" width="12" style="82" bestFit="1" customWidth="1"/>
    <col min="22" max="22" width="12.7109375" style="82" bestFit="1" customWidth="1"/>
    <col min="23" max="23" width="12.5703125" style="82" bestFit="1" customWidth="1"/>
    <col min="24" max="16384" width="9.140625" style="82"/>
  </cols>
  <sheetData>
    <row r="2" spans="2:16" x14ac:dyDescent="0.25">
      <c r="B2" s="88" t="s">
        <v>241</v>
      </c>
    </row>
    <row r="4" spans="2:16" x14ac:dyDescent="0.25">
      <c r="B4" s="169" t="s">
        <v>240</v>
      </c>
      <c r="C4" s="169"/>
      <c r="D4" s="169"/>
      <c r="E4" s="125"/>
      <c r="F4" s="127"/>
      <c r="G4" s="126" t="s">
        <v>239</v>
      </c>
      <c r="H4" s="126"/>
      <c r="I4" s="126"/>
      <c r="K4" s="170" t="s">
        <v>238</v>
      </c>
      <c r="L4" s="170"/>
      <c r="O4" s="82" t="s">
        <v>237</v>
      </c>
      <c r="P4" s="97">
        <f>SLOPE(D8:D111,H8:H111)</f>
        <v>1.1163853827622336</v>
      </c>
    </row>
    <row r="5" spans="2:16" x14ac:dyDescent="0.25">
      <c r="B5" s="125"/>
      <c r="C5" s="125"/>
      <c r="D5" s="125"/>
      <c r="E5" s="125"/>
      <c r="O5" s="82" t="s">
        <v>236</v>
      </c>
      <c r="P5" s="124">
        <f>_xlfn.COVARIANCE.S(D8:D111,H8:H111)/_xlfn.VAR.S(H8:H111)</f>
        <v>1.1163853827622328</v>
      </c>
    </row>
    <row r="6" spans="2:16" x14ac:dyDescent="0.25">
      <c r="B6" s="87" t="s">
        <v>235</v>
      </c>
      <c r="C6" s="87" t="s">
        <v>234</v>
      </c>
      <c r="D6" s="87" t="s">
        <v>233</v>
      </c>
      <c r="E6" s="88"/>
      <c r="F6" s="87" t="s">
        <v>235</v>
      </c>
      <c r="G6" s="87" t="s">
        <v>234</v>
      </c>
      <c r="H6" s="87" t="s">
        <v>233</v>
      </c>
      <c r="K6" s="82" t="s">
        <v>232</v>
      </c>
      <c r="L6" s="97">
        <f>P4</f>
        <v>1.1163853827622336</v>
      </c>
      <c r="O6" s="82" t="s">
        <v>231</v>
      </c>
      <c r="P6" s="97">
        <f>P25</f>
        <v>1.1163853827622341</v>
      </c>
    </row>
    <row r="7" spans="2:16" x14ac:dyDescent="0.25">
      <c r="B7" s="119">
        <v>45431</v>
      </c>
      <c r="C7" s="97">
        <v>1469.37451171875</v>
      </c>
      <c r="D7" s="95"/>
      <c r="E7" s="95"/>
      <c r="F7" s="119">
        <v>45431</v>
      </c>
      <c r="G7" s="97">
        <v>22957.099609375</v>
      </c>
      <c r="K7" s="82" t="s">
        <v>230</v>
      </c>
      <c r="L7" s="94">
        <v>0.75</v>
      </c>
    </row>
    <row r="8" spans="2:16" x14ac:dyDescent="0.25">
      <c r="B8" s="119">
        <v>45438</v>
      </c>
      <c r="C8" s="97">
        <v>1419.89074707031</v>
      </c>
      <c r="D8" s="95">
        <f t="shared" ref="D8:D39" si="0">C8/C7-1</f>
        <v>-3.3676754465107761E-2</v>
      </c>
      <c r="E8" s="95"/>
      <c r="F8" s="119">
        <v>45438</v>
      </c>
      <c r="G8" s="97">
        <v>22530.69921875</v>
      </c>
      <c r="H8" s="95">
        <f t="shared" ref="H8:H39" si="1">G8/G7-1</f>
        <v>-1.8573791893592317E-2</v>
      </c>
      <c r="O8" s="82" t="s">
        <v>229</v>
      </c>
    </row>
    <row r="9" spans="2:16" ht="15.75" thickBot="1" x14ac:dyDescent="0.3">
      <c r="B9" s="119">
        <v>45445</v>
      </c>
      <c r="C9" s="97">
        <v>1459.15002441406</v>
      </c>
      <c r="D9" s="95">
        <f t="shared" si="0"/>
        <v>2.7649505727644463E-2</v>
      </c>
      <c r="E9" s="95"/>
      <c r="F9" s="119">
        <v>45445</v>
      </c>
      <c r="G9" s="97">
        <v>23290.150390625</v>
      </c>
      <c r="H9" s="95">
        <f t="shared" si="1"/>
        <v>3.3707394719600492E-2</v>
      </c>
      <c r="K9" s="82" t="s">
        <v>228</v>
      </c>
      <c r="L9" s="82">
        <v>1</v>
      </c>
    </row>
    <row r="10" spans="2:16" x14ac:dyDescent="0.25">
      <c r="B10" s="119">
        <v>45452</v>
      </c>
      <c r="C10" s="97">
        <v>1466.69445800781</v>
      </c>
      <c r="D10" s="95">
        <f t="shared" si="0"/>
        <v>5.1704303652939654E-3</v>
      </c>
      <c r="E10" s="95"/>
      <c r="F10" s="119">
        <v>45452</v>
      </c>
      <c r="G10" s="97">
        <v>23465.599609375</v>
      </c>
      <c r="H10" s="95">
        <f t="shared" si="1"/>
        <v>7.5331938955887079E-3</v>
      </c>
      <c r="K10" s="82" t="s">
        <v>227</v>
      </c>
      <c r="L10" s="94">
        <v>0.25</v>
      </c>
      <c r="O10" s="123" t="s">
        <v>226</v>
      </c>
      <c r="P10" s="123"/>
    </row>
    <row r="11" spans="2:16" x14ac:dyDescent="0.25">
      <c r="B11" s="119">
        <v>45459</v>
      </c>
      <c r="C11" s="97">
        <v>1443.51586914062</v>
      </c>
      <c r="D11" s="95">
        <f t="shared" si="0"/>
        <v>-1.5803283867775075E-2</v>
      </c>
      <c r="E11" s="95"/>
      <c r="F11" s="119">
        <v>45459</v>
      </c>
      <c r="G11" s="97">
        <v>23501.099609375</v>
      </c>
      <c r="H11" s="95">
        <f t="shared" si="1"/>
        <v>1.5128528821319875E-3</v>
      </c>
      <c r="O11" s="82" t="s">
        <v>225</v>
      </c>
      <c r="P11" s="82">
        <v>0.67255031697498835</v>
      </c>
    </row>
    <row r="12" spans="2:16" x14ac:dyDescent="0.25">
      <c r="B12" s="119">
        <v>45466</v>
      </c>
      <c r="C12" s="97">
        <v>1553.89892578125</v>
      </c>
      <c r="D12" s="95">
        <f t="shared" si="0"/>
        <v>7.6468197544891092E-2</v>
      </c>
      <c r="E12" s="95"/>
      <c r="F12" s="119">
        <v>45466</v>
      </c>
      <c r="G12" s="97">
        <v>24010.599609375</v>
      </c>
      <c r="H12" s="95">
        <f t="shared" si="1"/>
        <v>2.1679836623336168E-2</v>
      </c>
      <c r="K12" s="122" t="s">
        <v>224</v>
      </c>
      <c r="L12" s="122">
        <f>(L6*L7)+(L9*L10)</f>
        <v>1.0872890370716752</v>
      </c>
      <c r="O12" s="82" t="s">
        <v>223</v>
      </c>
      <c r="P12" s="82">
        <v>0.45232392886315731</v>
      </c>
    </row>
    <row r="13" spans="2:16" x14ac:dyDescent="0.25">
      <c r="B13" s="119">
        <v>45473</v>
      </c>
      <c r="C13" s="97">
        <v>1576.95324707031</v>
      </c>
      <c r="D13" s="95">
        <f t="shared" si="0"/>
        <v>1.4836435566405237E-2</v>
      </c>
      <c r="E13" s="95"/>
      <c r="F13" s="119">
        <v>45473</v>
      </c>
      <c r="G13" s="97">
        <v>24323.849609375</v>
      </c>
      <c r="H13" s="95">
        <f t="shared" si="1"/>
        <v>1.3046321420381757E-2</v>
      </c>
      <c r="O13" s="82" t="s">
        <v>222</v>
      </c>
      <c r="P13" s="82">
        <v>0.44695455561671771</v>
      </c>
    </row>
    <row r="14" spans="2:16" x14ac:dyDescent="0.25">
      <c r="B14" s="119">
        <v>45480</v>
      </c>
      <c r="C14" s="97">
        <v>1584.99377441406</v>
      </c>
      <c r="D14" s="95">
        <f t="shared" si="0"/>
        <v>5.0987734472711654E-3</v>
      </c>
      <c r="E14" s="95"/>
      <c r="F14" s="119">
        <v>45480</v>
      </c>
      <c r="G14" s="97">
        <v>24502.150390625</v>
      </c>
      <c r="H14" s="95">
        <f t="shared" si="1"/>
        <v>7.3302862874664587E-3</v>
      </c>
      <c r="O14" s="82" t="s">
        <v>213</v>
      </c>
      <c r="P14" s="82">
        <v>2.3202364089945977E-2</v>
      </c>
    </row>
    <row r="15" spans="2:16" ht="15.75" thickBot="1" x14ac:dyDescent="0.3">
      <c r="B15" s="119">
        <v>45487</v>
      </c>
      <c r="C15" s="97">
        <v>1543.72424316406</v>
      </c>
      <c r="D15" s="95">
        <f t="shared" si="0"/>
        <v>-2.6037661419368363E-2</v>
      </c>
      <c r="E15" s="95"/>
      <c r="F15" s="119">
        <v>45487</v>
      </c>
      <c r="G15" s="97">
        <v>24530.900390625</v>
      </c>
      <c r="H15" s="95">
        <f t="shared" si="1"/>
        <v>1.1733664001589705E-3</v>
      </c>
      <c r="O15" s="120" t="s">
        <v>221</v>
      </c>
      <c r="P15" s="120">
        <v>104</v>
      </c>
    </row>
    <row r="16" spans="2:16" x14ac:dyDescent="0.25">
      <c r="B16" s="119">
        <v>45494</v>
      </c>
      <c r="C16" s="97">
        <v>1497.93811035156</v>
      </c>
      <c r="D16" s="95">
        <f t="shared" si="0"/>
        <v>-2.9659528257880763E-2</v>
      </c>
      <c r="E16" s="95"/>
      <c r="F16" s="119">
        <v>45494</v>
      </c>
      <c r="G16" s="97">
        <v>24834.849609375</v>
      </c>
      <c r="H16" s="95">
        <f t="shared" si="1"/>
        <v>1.2390463208034497E-2</v>
      </c>
    </row>
    <row r="17" spans="2:23" ht="15.75" thickBot="1" x14ac:dyDescent="0.3">
      <c r="B17" s="119">
        <v>45501</v>
      </c>
      <c r="C17" s="97">
        <v>1488.30920410156</v>
      </c>
      <c r="D17" s="95">
        <f t="shared" si="0"/>
        <v>-6.428106864668881E-3</v>
      </c>
      <c r="E17" s="95"/>
      <c r="F17" s="119">
        <v>45501</v>
      </c>
      <c r="G17" s="97">
        <v>24717.69921875</v>
      </c>
      <c r="H17" s="95">
        <f t="shared" si="1"/>
        <v>-4.7171773724281607E-3</v>
      </c>
      <c r="O17" s="82" t="s">
        <v>220</v>
      </c>
    </row>
    <row r="18" spans="2:23" x14ac:dyDescent="0.25">
      <c r="B18" s="119">
        <v>45508</v>
      </c>
      <c r="C18" s="97">
        <v>1463.46826171875</v>
      </c>
      <c r="D18" s="95">
        <f t="shared" si="0"/>
        <v>-1.6690713404413526E-2</v>
      </c>
      <c r="E18" s="95"/>
      <c r="F18" s="119">
        <v>45508</v>
      </c>
      <c r="G18" s="97">
        <v>24367.5</v>
      </c>
      <c r="H18" s="95">
        <f t="shared" si="1"/>
        <v>-1.4167953726225035E-2</v>
      </c>
      <c r="O18" s="121"/>
      <c r="P18" s="121" t="s">
        <v>155</v>
      </c>
      <c r="Q18" s="121" t="s">
        <v>219</v>
      </c>
      <c r="R18" s="121" t="s">
        <v>218</v>
      </c>
      <c r="S18" s="121" t="s">
        <v>217</v>
      </c>
      <c r="T18" s="121" t="s">
        <v>216</v>
      </c>
    </row>
    <row r="19" spans="2:23" x14ac:dyDescent="0.25">
      <c r="B19" s="119">
        <v>45515</v>
      </c>
      <c r="C19" s="97">
        <v>1467.33959960937</v>
      </c>
      <c r="D19" s="95">
        <f t="shared" si="0"/>
        <v>2.6453172862617169E-3</v>
      </c>
      <c r="E19" s="95"/>
      <c r="F19" s="119">
        <v>45515</v>
      </c>
      <c r="G19" s="97">
        <v>24541.150390625</v>
      </c>
      <c r="H19" s="95">
        <f t="shared" si="1"/>
        <v>7.126311300913013E-3</v>
      </c>
      <c r="O19" s="82" t="s">
        <v>215</v>
      </c>
      <c r="P19" s="82">
        <v>1</v>
      </c>
      <c r="Q19" s="82">
        <v>4.5351373417628293E-2</v>
      </c>
      <c r="R19" s="82">
        <v>4.5351373417628293E-2</v>
      </c>
      <c r="S19" s="82">
        <v>84.241476258534988</v>
      </c>
      <c r="T19" s="82">
        <v>5.3535653799802264E-15</v>
      </c>
    </row>
    <row r="20" spans="2:23" x14ac:dyDescent="0.25">
      <c r="B20" s="119">
        <v>45522</v>
      </c>
      <c r="C20" s="97">
        <v>1488.95446777343</v>
      </c>
      <c r="D20" s="95">
        <f t="shared" si="0"/>
        <v>1.4730651425078678E-2</v>
      </c>
      <c r="E20" s="95"/>
      <c r="F20" s="119">
        <v>45522</v>
      </c>
      <c r="G20" s="97">
        <v>24823.150390625</v>
      </c>
      <c r="H20" s="95">
        <f t="shared" si="1"/>
        <v>1.1490903870086111E-2</v>
      </c>
      <c r="O20" s="82" t="s">
        <v>214</v>
      </c>
      <c r="P20" s="82">
        <v>102</v>
      </c>
      <c r="Q20" s="82">
        <v>5.4911669334966287E-2</v>
      </c>
      <c r="R20" s="82">
        <v>5.3834969936241458E-4</v>
      </c>
    </row>
    <row r="21" spans="2:23" ht="15.75" thickBot="1" x14ac:dyDescent="0.3">
      <c r="B21" s="119">
        <v>45529</v>
      </c>
      <c r="C21" s="97">
        <v>1503.61975097656</v>
      </c>
      <c r="D21" s="95">
        <f t="shared" si="0"/>
        <v>9.8493832555270888E-3</v>
      </c>
      <c r="E21" s="95"/>
      <c r="F21" s="119">
        <v>45529</v>
      </c>
      <c r="G21" s="97">
        <v>25235.900390625</v>
      </c>
      <c r="H21" s="95">
        <f t="shared" si="1"/>
        <v>1.6627623549180237E-2</v>
      </c>
      <c r="O21" s="120" t="s">
        <v>13</v>
      </c>
      <c r="P21" s="120">
        <v>103</v>
      </c>
      <c r="Q21" s="120">
        <v>0.10026304275259458</v>
      </c>
      <c r="R21" s="120"/>
      <c r="S21" s="120"/>
      <c r="T21" s="120"/>
    </row>
    <row r="22" spans="2:23" ht="15.75" thickBot="1" x14ac:dyDescent="0.3">
      <c r="B22" s="119">
        <v>45536</v>
      </c>
      <c r="C22" s="97">
        <v>1458.99780273437</v>
      </c>
      <c r="D22" s="95">
        <f t="shared" si="0"/>
        <v>-2.9676351493260977E-2</v>
      </c>
      <c r="E22" s="95"/>
      <c r="F22" s="119">
        <v>45536</v>
      </c>
      <c r="G22" s="97">
        <v>24852.150390625</v>
      </c>
      <c r="H22" s="95">
        <f t="shared" si="1"/>
        <v>-1.5206511123437516E-2</v>
      </c>
    </row>
    <row r="23" spans="2:23" x14ac:dyDescent="0.25">
      <c r="B23" s="119">
        <v>45543</v>
      </c>
      <c r="C23" s="97">
        <v>1466.76684570312</v>
      </c>
      <c r="D23" s="95">
        <f t="shared" si="0"/>
        <v>5.3249175250227321E-3</v>
      </c>
      <c r="E23" s="95"/>
      <c r="F23" s="119">
        <v>45543</v>
      </c>
      <c r="G23" s="97">
        <v>25356.5</v>
      </c>
      <c r="H23" s="95">
        <f t="shared" si="1"/>
        <v>2.0294002790408605E-2</v>
      </c>
      <c r="O23" s="121"/>
      <c r="P23" s="121" t="s">
        <v>156</v>
      </c>
      <c r="Q23" s="121" t="s">
        <v>213</v>
      </c>
      <c r="R23" s="121" t="s">
        <v>212</v>
      </c>
      <c r="S23" s="121" t="s">
        <v>211</v>
      </c>
      <c r="T23" s="121" t="s">
        <v>210</v>
      </c>
      <c r="U23" s="121" t="s">
        <v>209</v>
      </c>
      <c r="V23" s="121" t="s">
        <v>208</v>
      </c>
      <c r="W23" s="121" t="s">
        <v>207</v>
      </c>
    </row>
    <row r="24" spans="2:23" x14ac:dyDescent="0.25">
      <c r="B24" s="119">
        <v>45550</v>
      </c>
      <c r="C24" s="97">
        <v>1480.01403808593</v>
      </c>
      <c r="D24" s="95">
        <f t="shared" si="0"/>
        <v>9.0315597339942766E-3</v>
      </c>
      <c r="E24" s="95"/>
      <c r="F24" s="119">
        <v>45550</v>
      </c>
      <c r="G24" s="97">
        <v>25790.94921875</v>
      </c>
      <c r="H24" s="95">
        <f t="shared" si="1"/>
        <v>1.7133643000808441E-2</v>
      </c>
      <c r="O24" s="82" t="s">
        <v>206</v>
      </c>
      <c r="P24" s="82">
        <v>-9.814174579184814E-4</v>
      </c>
      <c r="Q24" s="82">
        <v>2.2757383074793408E-3</v>
      </c>
      <c r="R24" s="82">
        <v>-0.43125233454698997</v>
      </c>
      <c r="S24" s="82">
        <v>0.66719497746872447</v>
      </c>
      <c r="T24" s="82">
        <v>-5.4953336005336695E-3</v>
      </c>
      <c r="U24" s="82">
        <v>3.5324986846967071E-3</v>
      </c>
      <c r="V24" s="82">
        <v>-5.4953336005336695E-3</v>
      </c>
      <c r="W24" s="82">
        <v>3.5324986846967071E-3</v>
      </c>
    </row>
    <row r="25" spans="2:23" ht="15.75" thickBot="1" x14ac:dyDescent="0.3">
      <c r="B25" s="119">
        <v>45557</v>
      </c>
      <c r="C25" s="97">
        <v>1520.10388183593</v>
      </c>
      <c r="D25" s="95">
        <f t="shared" si="0"/>
        <v>2.7087475333576805E-2</v>
      </c>
      <c r="E25" s="95"/>
      <c r="F25" s="119">
        <v>45557</v>
      </c>
      <c r="G25" s="97">
        <v>26178.94921875</v>
      </c>
      <c r="H25" s="95">
        <f t="shared" si="1"/>
        <v>1.5044037220542705E-2</v>
      </c>
      <c r="O25" s="120" t="s">
        <v>205</v>
      </c>
      <c r="P25" s="120">
        <v>1.1163853827622341</v>
      </c>
      <c r="Q25" s="120">
        <v>0.12163292678157737</v>
      </c>
      <c r="R25" s="120">
        <v>9.1783155458142183</v>
      </c>
      <c r="S25" s="120">
        <v>5.3535653799802856E-15</v>
      </c>
      <c r="T25" s="120">
        <v>0.87512704920584927</v>
      </c>
      <c r="U25" s="120">
        <v>1.3576437163186188</v>
      </c>
      <c r="V25" s="120">
        <v>0.87512704920584927</v>
      </c>
      <c r="W25" s="120">
        <v>1.3576437163186188</v>
      </c>
    </row>
    <row r="26" spans="2:23" x14ac:dyDescent="0.25">
      <c r="B26" s="119">
        <v>45564</v>
      </c>
      <c r="C26" s="97">
        <v>1381.00939941406</v>
      </c>
      <c r="D26" s="95">
        <f t="shared" si="0"/>
        <v>-9.1503274272200619E-2</v>
      </c>
      <c r="E26" s="95"/>
      <c r="F26" s="119">
        <v>45564</v>
      </c>
      <c r="G26" s="97">
        <v>25014.599609375</v>
      </c>
      <c r="H26" s="95">
        <f t="shared" si="1"/>
        <v>-4.4476560141728849E-2</v>
      </c>
    </row>
    <row r="27" spans="2:23" x14ac:dyDescent="0.25">
      <c r="B27" s="119">
        <v>45571</v>
      </c>
      <c r="C27" s="97">
        <v>1366.64172363281</v>
      </c>
      <c r="D27" s="95">
        <f t="shared" si="0"/>
        <v>-1.0403749451195599E-2</v>
      </c>
      <c r="E27" s="95"/>
      <c r="F27" s="119">
        <v>45571</v>
      </c>
      <c r="G27" s="97">
        <v>24964.25</v>
      </c>
      <c r="H27" s="95">
        <f t="shared" si="1"/>
        <v>-2.0128089260372795E-3</v>
      </c>
    </row>
    <row r="28" spans="2:23" x14ac:dyDescent="0.25">
      <c r="B28" s="119">
        <v>45578</v>
      </c>
      <c r="C28" s="97">
        <v>1353.89270019531</v>
      </c>
      <c r="D28" s="95">
        <f t="shared" si="0"/>
        <v>-9.3287239933013133E-3</v>
      </c>
      <c r="E28" s="95"/>
      <c r="F28" s="119">
        <v>45578</v>
      </c>
      <c r="G28" s="97">
        <v>24854.05078125</v>
      </c>
      <c r="H28" s="95">
        <f t="shared" si="1"/>
        <v>-4.4142811720760955E-3</v>
      </c>
    </row>
    <row r="29" spans="2:23" x14ac:dyDescent="0.25">
      <c r="B29" s="119">
        <v>45585</v>
      </c>
      <c r="C29" s="97">
        <v>1322.56774902343</v>
      </c>
      <c r="D29" s="95">
        <f t="shared" si="0"/>
        <v>-2.313695255714221E-2</v>
      </c>
      <c r="E29" s="95"/>
      <c r="F29" s="119">
        <v>45585</v>
      </c>
      <c r="G29" s="97">
        <v>24180.80078125</v>
      </c>
      <c r="H29" s="95">
        <f t="shared" si="1"/>
        <v>-2.7088139713140946E-2</v>
      </c>
    </row>
    <row r="30" spans="2:23" x14ac:dyDescent="0.25">
      <c r="B30" s="119">
        <v>45592</v>
      </c>
      <c r="C30" s="97">
        <v>1333.32482910156</v>
      </c>
      <c r="D30" s="95">
        <f t="shared" si="0"/>
        <v>8.1334813177418308E-3</v>
      </c>
      <c r="E30" s="95"/>
      <c r="F30" s="119">
        <v>45592</v>
      </c>
      <c r="G30" s="97">
        <v>24304.349609375</v>
      </c>
      <c r="H30" s="95">
        <f t="shared" si="1"/>
        <v>5.1093770319137199E-3</v>
      </c>
    </row>
    <row r="31" spans="2:23" x14ac:dyDescent="0.25">
      <c r="B31" s="119">
        <v>45599</v>
      </c>
      <c r="C31" s="97">
        <v>1278.64318847656</v>
      </c>
      <c r="D31" s="95">
        <f t="shared" si="0"/>
        <v>-4.1011492047175357E-2</v>
      </c>
      <c r="E31" s="95"/>
      <c r="F31" s="119">
        <v>45599</v>
      </c>
      <c r="G31" s="97">
        <v>24148.19921875</v>
      </c>
      <c r="H31" s="95">
        <f t="shared" si="1"/>
        <v>-6.424791987223899E-3</v>
      </c>
    </row>
    <row r="32" spans="2:23" x14ac:dyDescent="0.25">
      <c r="B32" s="119">
        <v>45606</v>
      </c>
      <c r="C32" s="97">
        <v>1262.55749511718</v>
      </c>
      <c r="D32" s="95">
        <f t="shared" si="0"/>
        <v>-1.2580283150411375E-2</v>
      </c>
      <c r="E32" s="95"/>
      <c r="F32" s="119">
        <v>45606</v>
      </c>
      <c r="G32" s="97">
        <v>23532.69921875</v>
      </c>
      <c r="H32" s="95">
        <f t="shared" si="1"/>
        <v>-2.5488443027341434E-2</v>
      </c>
    </row>
    <row r="33" spans="2:8" x14ac:dyDescent="0.25">
      <c r="B33" s="119">
        <v>45613</v>
      </c>
      <c r="C33" s="97">
        <v>1260.3662109375</v>
      </c>
      <c r="D33" s="95">
        <f t="shared" si="0"/>
        <v>-1.7355915973368274E-3</v>
      </c>
      <c r="E33" s="95"/>
      <c r="F33" s="119">
        <v>45613</v>
      </c>
      <c r="G33" s="97">
        <v>23907.25</v>
      </c>
      <c r="H33" s="95">
        <f t="shared" si="1"/>
        <v>1.5916184444815906E-2</v>
      </c>
    </row>
    <row r="34" spans="2:8" x14ac:dyDescent="0.25">
      <c r="B34" s="119">
        <v>45620</v>
      </c>
      <c r="C34" s="97">
        <v>1287.0595703125</v>
      </c>
      <c r="D34" s="95">
        <f t="shared" si="0"/>
        <v>2.1179050297726265E-2</v>
      </c>
      <c r="E34" s="95"/>
      <c r="F34" s="119">
        <v>45620</v>
      </c>
      <c r="G34" s="97">
        <v>24131.099609375</v>
      </c>
      <c r="H34" s="95">
        <f t="shared" si="1"/>
        <v>9.3632521254012335E-3</v>
      </c>
    </row>
    <row r="35" spans="2:8" x14ac:dyDescent="0.25">
      <c r="B35" s="119">
        <v>45627</v>
      </c>
      <c r="C35" s="97">
        <v>1306.33264160156</v>
      </c>
      <c r="D35" s="95">
        <f t="shared" si="0"/>
        <v>1.4974498254482826E-2</v>
      </c>
      <c r="E35" s="95"/>
      <c r="F35" s="119">
        <v>45627</v>
      </c>
      <c r="G35" s="97">
        <v>24677.80078125</v>
      </c>
      <c r="H35" s="95">
        <f t="shared" si="1"/>
        <v>2.2655460411037609E-2</v>
      </c>
    </row>
    <row r="36" spans="2:8" x14ac:dyDescent="0.25">
      <c r="B36" s="119">
        <v>45634</v>
      </c>
      <c r="C36" s="97">
        <v>1267.78662109375</v>
      </c>
      <c r="D36" s="95">
        <f t="shared" si="0"/>
        <v>-2.9507048419576076E-2</v>
      </c>
      <c r="E36" s="95"/>
      <c r="F36" s="119">
        <v>45634</v>
      </c>
      <c r="G36" s="97">
        <v>24768.30078125</v>
      </c>
      <c r="H36" s="95">
        <f t="shared" si="1"/>
        <v>3.667263578396307E-3</v>
      </c>
    </row>
    <row r="37" spans="2:8" x14ac:dyDescent="0.25">
      <c r="B37" s="119">
        <v>45641</v>
      </c>
      <c r="C37" s="97">
        <v>1200.50537109375</v>
      </c>
      <c r="D37" s="95">
        <f t="shared" si="0"/>
        <v>-5.3069853302249559E-2</v>
      </c>
      <c r="E37" s="95"/>
      <c r="F37" s="119">
        <v>45641</v>
      </c>
      <c r="G37" s="97">
        <v>23587.5</v>
      </c>
      <c r="H37" s="95">
        <f t="shared" si="1"/>
        <v>-4.7673871198458895E-2</v>
      </c>
    </row>
    <row r="38" spans="2:8" x14ac:dyDescent="0.25">
      <c r="B38" s="119">
        <v>45648</v>
      </c>
      <c r="C38" s="97">
        <v>1216.19274902343</v>
      </c>
      <c r="D38" s="95">
        <f t="shared" si="0"/>
        <v>1.3067311740044607E-2</v>
      </c>
      <c r="E38" s="95"/>
      <c r="F38" s="119">
        <v>45648</v>
      </c>
      <c r="G38" s="97">
        <v>23813.400390625</v>
      </c>
      <c r="H38" s="95">
        <f t="shared" si="1"/>
        <v>9.5771230789614137E-3</v>
      </c>
    </row>
    <row r="39" spans="2:8" x14ac:dyDescent="0.25">
      <c r="B39" s="119">
        <v>45655</v>
      </c>
      <c r="C39" s="97">
        <v>1246.17297363281</v>
      </c>
      <c r="D39" s="95">
        <f t="shared" si="0"/>
        <v>2.4650882545923292E-2</v>
      </c>
      <c r="E39" s="95"/>
      <c r="F39" s="119">
        <v>45655</v>
      </c>
      <c r="G39" s="97">
        <v>24004.75</v>
      </c>
      <c r="H39" s="95">
        <f t="shared" si="1"/>
        <v>8.0353753028203911E-3</v>
      </c>
    </row>
    <row r="40" spans="2:8" x14ac:dyDescent="0.25">
      <c r="B40" s="119">
        <v>45662</v>
      </c>
      <c r="C40" s="97">
        <v>1236.95971679687</v>
      </c>
      <c r="D40" s="95">
        <f t="shared" ref="D40:D71" si="2">C40/C39-1</f>
        <v>-7.3932407706466252E-3</v>
      </c>
      <c r="E40" s="95"/>
      <c r="F40" s="119">
        <v>45662</v>
      </c>
      <c r="G40" s="97">
        <v>23431.5</v>
      </c>
      <c r="H40" s="95">
        <f t="shared" ref="H40:H71" si="3">G40/G39-1</f>
        <v>-2.3880690280048689E-2</v>
      </c>
    </row>
    <row r="41" spans="2:8" x14ac:dyDescent="0.25">
      <c r="B41" s="119">
        <v>45669</v>
      </c>
      <c r="C41" s="97">
        <v>1297.16918945312</v>
      </c>
      <c r="D41" s="95">
        <f t="shared" si="2"/>
        <v>4.8675370619314595E-2</v>
      </c>
      <c r="E41" s="95"/>
      <c r="F41" s="119">
        <v>45669</v>
      </c>
      <c r="G41" s="97">
        <v>23203.19921875</v>
      </c>
      <c r="H41" s="95">
        <f t="shared" si="3"/>
        <v>-9.7433276252053558E-3</v>
      </c>
    </row>
    <row r="42" spans="2:8" x14ac:dyDescent="0.25">
      <c r="B42" s="119">
        <v>45676</v>
      </c>
      <c r="C42" s="97">
        <v>1241.34228515625</v>
      </c>
      <c r="D42" s="95">
        <f t="shared" si="2"/>
        <v>-4.3037488672087787E-2</v>
      </c>
      <c r="E42" s="95"/>
      <c r="F42" s="119">
        <v>45676</v>
      </c>
      <c r="G42" s="97">
        <v>23092.19921875</v>
      </c>
      <c r="H42" s="95">
        <f t="shared" si="3"/>
        <v>-4.7838230820473893E-3</v>
      </c>
    </row>
    <row r="43" spans="2:8" x14ac:dyDescent="0.25">
      <c r="B43" s="119">
        <v>45683</v>
      </c>
      <c r="C43" s="97">
        <v>1259.5693359375</v>
      </c>
      <c r="D43" s="95">
        <f t="shared" si="2"/>
        <v>1.4683339961270914E-2</v>
      </c>
      <c r="E43" s="95"/>
      <c r="F43" s="119">
        <v>45683</v>
      </c>
      <c r="G43" s="97">
        <v>23482.150390625</v>
      </c>
      <c r="H43" s="95">
        <f t="shared" si="3"/>
        <v>1.688670568710382E-2</v>
      </c>
    </row>
    <row r="44" spans="2:8" x14ac:dyDescent="0.25">
      <c r="B44" s="119">
        <v>45690</v>
      </c>
      <c r="C44" s="97">
        <v>1261.66101074218</v>
      </c>
      <c r="D44" s="95">
        <f t="shared" si="2"/>
        <v>1.6606269659011907E-3</v>
      </c>
      <c r="E44" s="95"/>
      <c r="F44" s="119">
        <v>45690</v>
      </c>
      <c r="G44" s="97">
        <v>23559.94921875</v>
      </c>
      <c r="H44" s="95">
        <f t="shared" si="3"/>
        <v>3.313104925691146E-3</v>
      </c>
    </row>
    <row r="45" spans="2:8" x14ac:dyDescent="0.25">
      <c r="B45" s="119">
        <v>45697</v>
      </c>
      <c r="C45" s="97">
        <v>1212.40771484375</v>
      </c>
      <c r="D45" s="95">
        <f t="shared" si="2"/>
        <v>-3.9038454449390025E-2</v>
      </c>
      <c r="E45" s="95"/>
      <c r="F45" s="119">
        <v>45697</v>
      </c>
      <c r="G45" s="97">
        <v>22929.25</v>
      </c>
      <c r="H45" s="95">
        <f t="shared" si="3"/>
        <v>-2.6769973606227571E-2</v>
      </c>
    </row>
    <row r="46" spans="2:8" x14ac:dyDescent="0.25">
      <c r="B46" s="119">
        <v>45704</v>
      </c>
      <c r="C46" s="97">
        <v>1223.26440429687</v>
      </c>
      <c r="D46" s="95">
        <f t="shared" si="2"/>
        <v>8.954652234722138E-3</v>
      </c>
      <c r="E46" s="95"/>
      <c r="F46" s="119">
        <v>45704</v>
      </c>
      <c r="G46" s="97">
        <v>22795.900390625</v>
      </c>
      <c r="H46" s="95">
        <f t="shared" si="3"/>
        <v>-5.8156986981693359E-3</v>
      </c>
    </row>
    <row r="47" spans="2:8" x14ac:dyDescent="0.25">
      <c r="B47" s="119">
        <v>45711</v>
      </c>
      <c r="C47" s="97">
        <v>1195.32592773437</v>
      </c>
      <c r="D47" s="95">
        <f t="shared" si="2"/>
        <v>-2.2839278625587878E-2</v>
      </c>
      <c r="E47" s="95"/>
      <c r="F47" s="119">
        <v>45711</v>
      </c>
      <c r="G47" s="97">
        <v>22124.69921875</v>
      </c>
      <c r="H47" s="95">
        <f t="shared" si="3"/>
        <v>-2.9443942128780209E-2</v>
      </c>
    </row>
    <row r="48" spans="2:8" x14ac:dyDescent="0.25">
      <c r="B48" s="119">
        <v>45718</v>
      </c>
      <c r="C48" s="97">
        <v>1244.82836914062</v>
      </c>
      <c r="D48" s="95">
        <f t="shared" si="2"/>
        <v>4.1413341966134221E-2</v>
      </c>
      <c r="E48" s="95"/>
      <c r="F48" s="119">
        <v>45718</v>
      </c>
      <c r="G48" s="97">
        <v>22552.5</v>
      </c>
      <c r="H48" s="95">
        <f t="shared" si="3"/>
        <v>1.9335891395416249E-2</v>
      </c>
    </row>
    <row r="49" spans="2:8" x14ac:dyDescent="0.25">
      <c r="B49" s="119">
        <v>45725</v>
      </c>
      <c r="C49" s="97">
        <v>1242.93591308593</v>
      </c>
      <c r="D49" s="95">
        <f t="shared" si="2"/>
        <v>-1.5202546002357487E-3</v>
      </c>
      <c r="E49" s="95"/>
      <c r="F49" s="119">
        <v>45725</v>
      </c>
      <c r="G49" s="97">
        <v>22397.19921875</v>
      </c>
      <c r="H49" s="95">
        <f t="shared" si="3"/>
        <v>-6.8861891697150623E-3</v>
      </c>
    </row>
    <row r="50" spans="2:8" x14ac:dyDescent="0.25">
      <c r="B50" s="119">
        <v>45732</v>
      </c>
      <c r="C50" s="97">
        <v>1271.27258300781</v>
      </c>
      <c r="D50" s="95">
        <f t="shared" si="2"/>
        <v>2.2798174566801555E-2</v>
      </c>
      <c r="E50" s="95"/>
      <c r="F50" s="119">
        <v>45732</v>
      </c>
      <c r="G50" s="97">
        <v>23350.400390625</v>
      </c>
      <c r="H50" s="95">
        <f t="shared" si="3"/>
        <v>4.2558945096895062E-2</v>
      </c>
    </row>
    <row r="51" spans="2:8" x14ac:dyDescent="0.25">
      <c r="B51" s="119">
        <v>45739</v>
      </c>
      <c r="C51" s="97">
        <v>1270.02758789062</v>
      </c>
      <c r="D51" s="95">
        <f t="shared" si="2"/>
        <v>-9.7932979427939326E-4</v>
      </c>
      <c r="E51" s="95"/>
      <c r="F51" s="119">
        <v>45739</v>
      </c>
      <c r="G51" s="97">
        <v>23519.349609375</v>
      </c>
      <c r="H51" s="95">
        <f t="shared" si="3"/>
        <v>7.2353885125597817E-3</v>
      </c>
    </row>
    <row r="52" spans="2:8" x14ac:dyDescent="0.25">
      <c r="B52" s="119">
        <v>45746</v>
      </c>
      <c r="C52" s="97">
        <v>1199.90759277343</v>
      </c>
      <c r="D52" s="95">
        <f t="shared" si="2"/>
        <v>-5.5211395237210414E-2</v>
      </c>
      <c r="E52" s="95"/>
      <c r="F52" s="119">
        <v>45746</v>
      </c>
      <c r="G52" s="97">
        <v>22904.44921875</v>
      </c>
      <c r="H52" s="95">
        <f t="shared" si="3"/>
        <v>-2.6144447054772924E-2</v>
      </c>
    </row>
    <row r="53" spans="2:8" x14ac:dyDescent="0.25">
      <c r="B53" s="119">
        <v>45753</v>
      </c>
      <c r="C53" s="97">
        <v>1214.10095214843</v>
      </c>
      <c r="D53" s="95">
        <f t="shared" si="2"/>
        <v>1.182871036109856E-2</v>
      </c>
      <c r="E53" s="95"/>
      <c r="F53" s="119">
        <v>45753</v>
      </c>
      <c r="G53" s="97">
        <v>22828.55078125</v>
      </c>
      <c r="H53" s="95">
        <f t="shared" si="3"/>
        <v>-3.3136984336592512E-3</v>
      </c>
    </row>
    <row r="54" spans="2:8" x14ac:dyDescent="0.25">
      <c r="B54" s="119">
        <v>45760</v>
      </c>
      <c r="C54" s="97">
        <v>1269.43005371093</v>
      </c>
      <c r="D54" s="95">
        <f t="shared" si="2"/>
        <v>4.5572076576162468E-2</v>
      </c>
      <c r="E54" s="95"/>
      <c r="F54" s="119">
        <v>45760</v>
      </c>
      <c r="G54" s="97">
        <v>23851.650390625</v>
      </c>
      <c r="H54" s="95">
        <f t="shared" si="3"/>
        <v>4.4816669230502093E-2</v>
      </c>
    </row>
    <row r="55" spans="2:8" x14ac:dyDescent="0.25">
      <c r="B55" s="119">
        <v>45767</v>
      </c>
      <c r="C55" s="97">
        <v>1295.22705078125</v>
      </c>
      <c r="D55" s="95">
        <f t="shared" si="2"/>
        <v>2.0321716029100934E-2</v>
      </c>
      <c r="E55" s="95"/>
      <c r="F55" s="119">
        <v>45767</v>
      </c>
      <c r="G55" s="97">
        <v>24039.349609375</v>
      </c>
      <c r="H55" s="95">
        <f t="shared" si="3"/>
        <v>7.8694436517390276E-3</v>
      </c>
    </row>
    <row r="56" spans="2:8" x14ac:dyDescent="0.25">
      <c r="B56" s="119">
        <v>45774</v>
      </c>
      <c r="C56" s="97">
        <v>1414.15209960937</v>
      </c>
      <c r="D56" s="95">
        <f t="shared" si="2"/>
        <v>9.1817916215066075E-2</v>
      </c>
      <c r="E56" s="95"/>
      <c r="F56" s="119">
        <v>45774</v>
      </c>
      <c r="G56" s="97">
        <v>24346.69921875</v>
      </c>
      <c r="H56" s="95">
        <f t="shared" si="3"/>
        <v>1.2785271414129218E-2</v>
      </c>
    </row>
    <row r="57" spans="2:8" x14ac:dyDescent="0.25">
      <c r="B57" s="119">
        <v>45781</v>
      </c>
      <c r="C57" s="97">
        <v>1371.72143554687</v>
      </c>
      <c r="D57" s="95">
        <f t="shared" si="2"/>
        <v>-3.0004314298455292E-2</v>
      </c>
      <c r="E57" s="95"/>
      <c r="F57" s="119">
        <v>45781</v>
      </c>
      <c r="G57" s="97">
        <v>24008</v>
      </c>
      <c r="H57" s="95">
        <f t="shared" si="3"/>
        <v>-1.391150462355728E-2</v>
      </c>
    </row>
    <row r="58" spans="2:8" x14ac:dyDescent="0.25">
      <c r="B58" s="119">
        <v>45788</v>
      </c>
      <c r="C58" s="97">
        <v>1450.6064453125</v>
      </c>
      <c r="D58" s="95">
        <f t="shared" si="2"/>
        <v>5.7508038965783603E-2</v>
      </c>
      <c r="E58" s="95"/>
      <c r="F58" s="119">
        <v>45788</v>
      </c>
      <c r="G58" s="97">
        <v>25019.80078125</v>
      </c>
      <c r="H58" s="95">
        <f t="shared" si="3"/>
        <v>4.2144317779490237E-2</v>
      </c>
    </row>
    <row r="59" spans="2:8" x14ac:dyDescent="0.25">
      <c r="B59" s="119">
        <v>45795</v>
      </c>
      <c r="C59" s="97">
        <v>1421.12426757812</v>
      </c>
      <c r="D59" s="95">
        <f t="shared" si="2"/>
        <v>-2.03240360813568E-2</v>
      </c>
      <c r="E59" s="95"/>
      <c r="F59" s="119">
        <v>45795</v>
      </c>
      <c r="G59" s="97">
        <v>24853.150390625</v>
      </c>
      <c r="H59" s="95">
        <f t="shared" si="3"/>
        <v>-6.6607401106841824E-3</v>
      </c>
    </row>
    <row r="60" spans="2:8" x14ac:dyDescent="0.25">
      <c r="B60" s="119">
        <v>45802</v>
      </c>
      <c r="C60" s="97">
        <v>1415.24768066406</v>
      </c>
      <c r="D60" s="95">
        <f t="shared" si="2"/>
        <v>-4.1351675206242611E-3</v>
      </c>
      <c r="E60" s="95"/>
      <c r="F60" s="119">
        <v>45802</v>
      </c>
      <c r="G60" s="97">
        <v>24750.69921875</v>
      </c>
      <c r="H60" s="95">
        <f t="shared" si="3"/>
        <v>-4.1222609715364511E-3</v>
      </c>
    </row>
    <row r="61" spans="2:8" x14ac:dyDescent="0.25">
      <c r="B61" s="119">
        <v>45809</v>
      </c>
      <c r="C61" s="97">
        <v>1437.75769042968</v>
      </c>
      <c r="D61" s="95">
        <f t="shared" si="2"/>
        <v>1.5905350048026845E-2</v>
      </c>
      <c r="E61" s="95"/>
      <c r="F61" s="119">
        <v>45809</v>
      </c>
      <c r="G61" s="97">
        <v>25003.05078125</v>
      </c>
      <c r="H61" s="95">
        <f t="shared" si="3"/>
        <v>1.0195734684894431E-2</v>
      </c>
    </row>
    <row r="62" spans="2:8" x14ac:dyDescent="0.25">
      <c r="B62" s="119">
        <v>45816</v>
      </c>
      <c r="C62" s="97">
        <v>1422.21984863281</v>
      </c>
      <c r="D62" s="95">
        <f t="shared" si="2"/>
        <v>-1.0806996130360735E-2</v>
      </c>
      <c r="E62" s="95"/>
      <c r="F62" s="119">
        <v>45816</v>
      </c>
      <c r="G62" s="97">
        <v>24718.599609375</v>
      </c>
      <c r="H62" s="95">
        <f t="shared" si="3"/>
        <v>-1.1376658567134212E-2</v>
      </c>
    </row>
    <row r="63" spans="2:8" x14ac:dyDescent="0.25">
      <c r="B63" s="119">
        <v>45823</v>
      </c>
      <c r="C63" s="97">
        <v>1460.36743164062</v>
      </c>
      <c r="D63" s="95">
        <f t="shared" si="2"/>
        <v>2.6822564067349841E-2</v>
      </c>
      <c r="E63" s="95"/>
      <c r="F63" s="119">
        <v>45823</v>
      </c>
      <c r="G63" s="97">
        <v>25112.400390625</v>
      </c>
      <c r="H63" s="95">
        <f t="shared" si="3"/>
        <v>1.5931354828881306E-2</v>
      </c>
    </row>
    <row r="64" spans="2:8" x14ac:dyDescent="0.25">
      <c r="B64" s="119">
        <v>45830</v>
      </c>
      <c r="C64" s="97">
        <v>1509.37170410156</v>
      </c>
      <c r="D64" s="95">
        <f t="shared" si="2"/>
        <v>3.3556125259440517E-2</v>
      </c>
      <c r="E64" s="95"/>
      <c r="F64" s="119">
        <v>45830</v>
      </c>
      <c r="G64" s="97">
        <v>25637.80078125</v>
      </c>
      <c r="H64" s="95">
        <f t="shared" si="3"/>
        <v>2.092195020995069E-2</v>
      </c>
    </row>
    <row r="65" spans="2:8" x14ac:dyDescent="0.25">
      <c r="B65" s="119">
        <v>45837</v>
      </c>
      <c r="C65" s="97">
        <v>1521.22448730468</v>
      </c>
      <c r="D65" s="95">
        <f t="shared" si="2"/>
        <v>7.8527927686145027E-3</v>
      </c>
      <c r="E65" s="95"/>
      <c r="F65" s="119">
        <v>45837</v>
      </c>
      <c r="G65" s="97">
        <v>25461</v>
      </c>
      <c r="H65" s="95">
        <f t="shared" si="3"/>
        <v>-6.896097787736255E-3</v>
      </c>
    </row>
    <row r="66" spans="2:8" x14ac:dyDescent="0.25">
      <c r="B66" s="119">
        <v>45844</v>
      </c>
      <c r="C66" s="97">
        <v>1489.25207519531</v>
      </c>
      <c r="D66" s="95">
        <f t="shared" si="2"/>
        <v>-2.1017550253887296E-2</v>
      </c>
      <c r="E66" s="95"/>
      <c r="F66" s="119">
        <v>45844</v>
      </c>
      <c r="G66" s="97">
        <v>25149.849609375</v>
      </c>
      <c r="H66" s="95">
        <f t="shared" si="3"/>
        <v>-1.2220666534111024E-2</v>
      </c>
    </row>
    <row r="67" spans="2:8" x14ac:dyDescent="0.25">
      <c r="B67" s="119">
        <v>45851</v>
      </c>
      <c r="C67" s="97">
        <v>1470.12841796875</v>
      </c>
      <c r="D67" s="95">
        <f t="shared" si="2"/>
        <v>-1.2841115043638274E-2</v>
      </c>
      <c r="E67" s="95"/>
      <c r="F67" s="119">
        <v>45851</v>
      </c>
      <c r="G67" s="97">
        <v>24968.400390625</v>
      </c>
      <c r="H67" s="95">
        <f t="shared" si="3"/>
        <v>-7.2147238082235221E-3</v>
      </c>
    </row>
    <row r="68" spans="2:8" x14ac:dyDescent="0.25">
      <c r="B68" s="119">
        <v>45858</v>
      </c>
      <c r="C68" s="97">
        <v>1386.16369628906</v>
      </c>
      <c r="D68" s="95">
        <f t="shared" si="2"/>
        <v>-5.7113868865756978E-2</v>
      </c>
      <c r="E68" s="95"/>
      <c r="F68" s="119">
        <v>45858</v>
      </c>
      <c r="G68" s="97">
        <v>24837</v>
      </c>
      <c r="H68" s="95">
        <f t="shared" si="3"/>
        <v>-5.2626675545597301E-3</v>
      </c>
    </row>
    <row r="69" spans="2:8" x14ac:dyDescent="0.25">
      <c r="B69" s="119">
        <v>45865</v>
      </c>
      <c r="C69" s="97">
        <v>1388.15576171875</v>
      </c>
      <c r="D69" s="95">
        <f t="shared" si="2"/>
        <v>1.4371069124252678E-3</v>
      </c>
      <c r="E69" s="95"/>
      <c r="F69" s="119">
        <v>45865</v>
      </c>
      <c r="G69" s="97">
        <v>24565.349609375</v>
      </c>
      <c r="H69" s="95">
        <f t="shared" si="3"/>
        <v>-1.0937326997020547E-2</v>
      </c>
    </row>
    <row r="70" spans="2:8" x14ac:dyDescent="0.25">
      <c r="B70" s="119">
        <v>45872</v>
      </c>
      <c r="C70" s="97">
        <v>1362.35888671875</v>
      </c>
      <c r="D70" s="95">
        <f t="shared" si="2"/>
        <v>-1.8583559360845436E-2</v>
      </c>
      <c r="E70" s="95"/>
      <c r="F70" s="119">
        <v>45872</v>
      </c>
      <c r="G70" s="97">
        <v>24363.30078125</v>
      </c>
      <c r="H70" s="95">
        <f t="shared" si="3"/>
        <v>-8.2249522737462E-3</v>
      </c>
    </row>
    <row r="71" spans="2:8" x14ac:dyDescent="0.25">
      <c r="B71" s="119">
        <v>45879</v>
      </c>
      <c r="C71" s="97">
        <v>1368.33508300781</v>
      </c>
      <c r="D71" s="95">
        <f t="shared" si="2"/>
        <v>4.3866534342162922E-3</v>
      </c>
      <c r="E71" s="95"/>
      <c r="F71" s="119">
        <v>45879</v>
      </c>
      <c r="G71" s="97">
        <v>24631.30078125</v>
      </c>
      <c r="H71" s="95">
        <f t="shared" si="3"/>
        <v>1.1000151515029977E-2</v>
      </c>
    </row>
    <row r="72" spans="2:8" x14ac:dyDescent="0.25">
      <c r="B72" s="119">
        <v>45886</v>
      </c>
      <c r="C72" s="97">
        <v>1409.19995117187</v>
      </c>
      <c r="D72" s="95">
        <f t="shared" ref="D72:D103" si="4">C72/C71-1</f>
        <v>2.9864664490099058E-2</v>
      </c>
      <c r="E72" s="95"/>
      <c r="F72" s="119">
        <v>45886</v>
      </c>
      <c r="G72" s="97">
        <v>24870.099609375</v>
      </c>
      <c r="H72" s="95">
        <f t="shared" ref="H72:H103" si="5">G72/G71-1</f>
        <v>9.6949337043044093E-3</v>
      </c>
    </row>
    <row r="73" spans="2:8" x14ac:dyDescent="0.25">
      <c r="B73" s="119">
        <v>45893</v>
      </c>
      <c r="C73" s="97">
        <v>1357.19995117187</v>
      </c>
      <c r="D73" s="95">
        <f t="shared" si="4"/>
        <v>-3.6900370282270889E-2</v>
      </c>
      <c r="E73" s="95"/>
      <c r="F73" s="119">
        <v>45893</v>
      </c>
      <c r="G73" s="97">
        <v>24426.849609375</v>
      </c>
      <c r="H73" s="95">
        <f t="shared" si="5"/>
        <v>-1.7822606542070796E-2</v>
      </c>
    </row>
    <row r="74" spans="2:8" x14ac:dyDescent="0.25">
      <c r="B74" s="119">
        <v>45900</v>
      </c>
      <c r="C74" s="97">
        <v>1375</v>
      </c>
      <c r="D74" s="95">
        <f t="shared" si="4"/>
        <v>1.3115273702125174E-2</v>
      </c>
      <c r="E74" s="95"/>
      <c r="F74" s="119">
        <v>45900</v>
      </c>
      <c r="G74" s="97">
        <v>24741</v>
      </c>
      <c r="H74" s="95">
        <f t="shared" si="5"/>
        <v>1.2860863993874538E-2</v>
      </c>
    </row>
    <row r="75" spans="2:8" x14ac:dyDescent="0.25">
      <c r="B75" s="119">
        <v>45907</v>
      </c>
      <c r="C75" s="97">
        <v>1395</v>
      </c>
      <c r="D75" s="95">
        <f t="shared" si="4"/>
        <v>1.4545454545454639E-2</v>
      </c>
      <c r="E75" s="95"/>
      <c r="F75" s="119">
        <v>45907</v>
      </c>
      <c r="G75" s="97">
        <v>25114</v>
      </c>
      <c r="H75" s="95">
        <f t="shared" si="5"/>
        <v>1.5076189321369338E-2</v>
      </c>
    </row>
    <row r="76" spans="2:8" x14ac:dyDescent="0.25">
      <c r="B76" s="119">
        <v>45914</v>
      </c>
      <c r="C76" s="97">
        <v>1407.40002441406</v>
      </c>
      <c r="D76" s="95">
        <f t="shared" si="4"/>
        <v>8.8889063900072784E-3</v>
      </c>
      <c r="E76" s="95"/>
      <c r="F76" s="119">
        <v>45914</v>
      </c>
      <c r="G76" s="97">
        <v>25327.05078125</v>
      </c>
      <c r="H76" s="95">
        <f t="shared" si="5"/>
        <v>8.483347186827972E-3</v>
      </c>
    </row>
    <row r="77" spans="2:8" x14ac:dyDescent="0.25">
      <c r="B77" s="119">
        <v>45921</v>
      </c>
      <c r="C77" s="97">
        <v>1377.59997558593</v>
      </c>
      <c r="D77" s="95">
        <f t="shared" si="4"/>
        <v>-2.1173829978109127E-2</v>
      </c>
      <c r="E77" s="95"/>
      <c r="F77" s="119">
        <v>45921</v>
      </c>
      <c r="G77" s="97">
        <v>24654.69921875</v>
      </c>
      <c r="H77" s="95">
        <f t="shared" si="5"/>
        <v>-2.6546776737138011E-2</v>
      </c>
    </row>
    <row r="78" spans="2:8" x14ac:dyDescent="0.25">
      <c r="B78" s="119">
        <v>45928</v>
      </c>
      <c r="C78" s="97">
        <v>1363.40002441406</v>
      </c>
      <c r="D78" s="95">
        <f t="shared" si="4"/>
        <v>-1.0307746387575478E-2</v>
      </c>
      <c r="E78" s="95"/>
      <c r="F78" s="119">
        <v>45928</v>
      </c>
      <c r="G78" s="97">
        <v>24894.25</v>
      </c>
      <c r="H78" s="95">
        <f t="shared" si="5"/>
        <v>9.7162321521173656E-3</v>
      </c>
    </row>
    <row r="79" spans="2:8" x14ac:dyDescent="0.25">
      <c r="B79" s="119">
        <v>45935</v>
      </c>
      <c r="C79" s="97">
        <v>1381.69995117187</v>
      </c>
      <c r="D79" s="95">
        <f t="shared" si="4"/>
        <v>1.3422272575999594E-2</v>
      </c>
      <c r="E79" s="95"/>
      <c r="F79" s="119">
        <v>45935</v>
      </c>
      <c r="G79" s="97">
        <v>25285.349609375</v>
      </c>
      <c r="H79" s="95">
        <f t="shared" si="5"/>
        <v>1.5710439534229792E-2</v>
      </c>
    </row>
    <row r="80" spans="2:8" x14ac:dyDescent="0.25">
      <c r="B80" s="119">
        <v>45942</v>
      </c>
      <c r="C80" s="97">
        <v>1416.80004882812</v>
      </c>
      <c r="D80" s="95">
        <f t="shared" si="4"/>
        <v>2.5403560032321248E-2</v>
      </c>
      <c r="E80" s="95"/>
      <c r="F80" s="119">
        <v>45942</v>
      </c>
      <c r="G80" s="97">
        <v>25709.849609375</v>
      </c>
      <c r="H80" s="95">
        <f t="shared" si="5"/>
        <v>1.6788377719033409E-2</v>
      </c>
    </row>
    <row r="81" spans="2:8" x14ac:dyDescent="0.25">
      <c r="B81" s="119">
        <v>45949</v>
      </c>
      <c r="C81" s="97">
        <v>1451.59997558593</v>
      </c>
      <c r="D81" s="95">
        <f t="shared" si="4"/>
        <v>2.4562341585599334E-2</v>
      </c>
      <c r="E81" s="95"/>
      <c r="F81" s="119">
        <v>45949</v>
      </c>
      <c r="G81" s="97">
        <v>25795.150390625</v>
      </c>
      <c r="H81" s="95">
        <f t="shared" si="5"/>
        <v>3.3178249793766046E-3</v>
      </c>
    </row>
    <row r="82" spans="2:8" x14ac:dyDescent="0.25">
      <c r="B82" s="119">
        <v>45956</v>
      </c>
      <c r="C82" s="97">
        <v>1486.40002441406</v>
      </c>
      <c r="D82" s="95">
        <f t="shared" si="4"/>
        <v>2.3973580472184342E-2</v>
      </c>
      <c r="E82" s="95"/>
      <c r="F82" s="119">
        <v>45956</v>
      </c>
      <c r="G82" s="97">
        <v>25722.099609375</v>
      </c>
      <c r="H82" s="95">
        <f t="shared" si="5"/>
        <v>-2.8319579511562054E-3</v>
      </c>
    </row>
    <row r="83" spans="2:8" x14ac:dyDescent="0.25">
      <c r="B83" s="119">
        <v>45963</v>
      </c>
      <c r="C83" s="97">
        <v>1478</v>
      </c>
      <c r="D83" s="95">
        <f t="shared" si="4"/>
        <v>-5.6512542223425832E-3</v>
      </c>
      <c r="E83" s="95"/>
      <c r="F83" s="119">
        <v>45963</v>
      </c>
      <c r="G83" s="97">
        <v>25492.30078125</v>
      </c>
      <c r="H83" s="95">
        <f t="shared" si="5"/>
        <v>-8.9339063146013364E-3</v>
      </c>
    </row>
    <row r="84" spans="2:8" x14ac:dyDescent="0.25">
      <c r="B84" s="119">
        <v>45970</v>
      </c>
      <c r="C84" s="97">
        <v>1518.90002441406</v>
      </c>
      <c r="D84" s="95">
        <f t="shared" si="4"/>
        <v>2.7672546964857991E-2</v>
      </c>
      <c r="E84" s="95"/>
      <c r="F84" s="119">
        <v>45970</v>
      </c>
      <c r="G84" s="97">
        <v>25910.05078125</v>
      </c>
      <c r="H84" s="95">
        <f t="shared" si="5"/>
        <v>1.6387300761305124E-2</v>
      </c>
    </row>
    <row r="85" spans="2:8" x14ac:dyDescent="0.25">
      <c r="B85" s="119">
        <v>45977</v>
      </c>
      <c r="C85" s="97">
        <v>1546.59997558593</v>
      </c>
      <c r="D85" s="95">
        <f t="shared" si="4"/>
        <v>1.8236849513881381E-2</v>
      </c>
      <c r="E85" s="95"/>
      <c r="F85" s="119">
        <v>45977</v>
      </c>
      <c r="G85" s="97">
        <v>26068.150390625</v>
      </c>
      <c r="H85" s="95">
        <f t="shared" si="5"/>
        <v>6.1018641263879125E-3</v>
      </c>
    </row>
    <row r="86" spans="2:8" x14ac:dyDescent="0.25">
      <c r="B86" s="119">
        <v>45984</v>
      </c>
      <c r="C86" s="97">
        <v>1567.5</v>
      </c>
      <c r="D86" s="95">
        <f t="shared" si="4"/>
        <v>1.3513529512472644E-2</v>
      </c>
      <c r="E86" s="95"/>
      <c r="F86" s="119">
        <v>45984</v>
      </c>
      <c r="G86" s="97">
        <v>26202.94921875</v>
      </c>
      <c r="H86" s="95">
        <f t="shared" si="5"/>
        <v>5.1710162057940767E-3</v>
      </c>
    </row>
    <row r="87" spans="2:8" x14ac:dyDescent="0.25">
      <c r="B87" s="119">
        <v>45991</v>
      </c>
      <c r="C87" s="97">
        <v>1540.59997558593</v>
      </c>
      <c r="D87" s="95">
        <f t="shared" si="4"/>
        <v>-1.7161100104669869E-2</v>
      </c>
      <c r="E87" s="95"/>
      <c r="F87" s="119">
        <v>45991</v>
      </c>
      <c r="G87" s="97">
        <v>26186.44921875</v>
      </c>
      <c r="H87" s="95">
        <f t="shared" si="5"/>
        <v>-6.2970010979501723E-4</v>
      </c>
    </row>
    <row r="88" spans="2:8" x14ac:dyDescent="0.25">
      <c r="B88" s="119">
        <v>45998</v>
      </c>
      <c r="C88" s="97">
        <v>1556.5</v>
      </c>
      <c r="D88" s="95">
        <f t="shared" si="4"/>
        <v>1.0320670301207091E-2</v>
      </c>
      <c r="E88" s="95"/>
      <c r="F88" s="119">
        <v>45998</v>
      </c>
      <c r="G88" s="97">
        <v>26046.94921875</v>
      </c>
      <c r="H88" s="95">
        <f t="shared" si="5"/>
        <v>-5.3271827285432671E-3</v>
      </c>
    </row>
    <row r="89" spans="2:8" x14ac:dyDescent="0.25">
      <c r="B89" s="119">
        <v>46005</v>
      </c>
      <c r="C89" s="97">
        <v>1565.09997558593</v>
      </c>
      <c r="D89" s="95">
        <f t="shared" si="4"/>
        <v>5.525201147401182E-3</v>
      </c>
      <c r="E89" s="95"/>
      <c r="F89" s="119">
        <v>46005</v>
      </c>
      <c r="G89" s="97">
        <v>25966.400390625</v>
      </c>
      <c r="H89" s="95">
        <f t="shared" si="5"/>
        <v>-3.0924476969846904E-3</v>
      </c>
    </row>
    <row r="90" spans="2:8" x14ac:dyDescent="0.25">
      <c r="B90" s="119">
        <v>46012</v>
      </c>
      <c r="C90" s="97">
        <v>1559.19995117187</v>
      </c>
      <c r="D90" s="95">
        <f t="shared" si="4"/>
        <v>-3.7697428318285153E-3</v>
      </c>
      <c r="E90" s="95"/>
      <c r="F90" s="119">
        <v>46012</v>
      </c>
      <c r="G90" s="97">
        <v>26042.30078125</v>
      </c>
      <c r="H90" s="95">
        <f t="shared" si="5"/>
        <v>2.9230231947130481E-3</v>
      </c>
    </row>
    <row r="91" spans="2:8" x14ac:dyDescent="0.25">
      <c r="B91" s="119">
        <v>46019</v>
      </c>
      <c r="C91" s="97">
        <v>1592.30004882812</v>
      </c>
      <c r="D91" s="95">
        <f t="shared" si="4"/>
        <v>2.122889859724042E-2</v>
      </c>
      <c r="E91" s="95"/>
      <c r="F91" s="119">
        <v>46019</v>
      </c>
      <c r="G91" s="97">
        <v>26328.55078125</v>
      </c>
      <c r="H91" s="95">
        <f t="shared" si="5"/>
        <v>1.099173235131734E-2</v>
      </c>
    </row>
    <row r="92" spans="2:8" x14ac:dyDescent="0.25">
      <c r="B92" s="119">
        <v>46026</v>
      </c>
      <c r="C92" s="97">
        <v>1475.30004882812</v>
      </c>
      <c r="D92" s="95">
        <f t="shared" si="4"/>
        <v>-7.3478613585491126E-2</v>
      </c>
      <c r="E92" s="95"/>
      <c r="F92" s="119">
        <v>46026</v>
      </c>
      <c r="G92" s="97">
        <v>25683.30078125</v>
      </c>
      <c r="H92" s="95">
        <f t="shared" si="5"/>
        <v>-2.4507615529659854E-2</v>
      </c>
    </row>
    <row r="93" spans="2:8" x14ac:dyDescent="0.25">
      <c r="B93" s="119">
        <v>46033</v>
      </c>
      <c r="C93" s="97">
        <v>1457.90002441406</v>
      </c>
      <c r="D93" s="95">
        <f t="shared" si="4"/>
        <v>-1.1794227505029564E-2</v>
      </c>
      <c r="E93" s="95"/>
      <c r="F93" s="119">
        <v>46033</v>
      </c>
      <c r="G93" s="97">
        <v>25694.349609375</v>
      </c>
      <c r="H93" s="95">
        <f t="shared" si="5"/>
        <v>4.3019502123597952E-4</v>
      </c>
    </row>
    <row r="94" spans="2:8" x14ac:dyDescent="0.25">
      <c r="B94" s="119">
        <v>46040</v>
      </c>
      <c r="C94" s="97">
        <v>1386.09997558593</v>
      </c>
      <c r="D94" s="95">
        <f t="shared" si="4"/>
        <v>-4.9248952346363395E-2</v>
      </c>
      <c r="E94" s="95"/>
      <c r="F94" s="119">
        <v>46040</v>
      </c>
      <c r="G94" s="97">
        <v>25048.650390625</v>
      </c>
      <c r="H94" s="95">
        <f t="shared" si="5"/>
        <v>-2.5130008292344796E-2</v>
      </c>
    </row>
    <row r="95" spans="2:8" x14ac:dyDescent="0.25">
      <c r="B95" s="119">
        <v>46047</v>
      </c>
      <c r="C95" s="97">
        <v>1347</v>
      </c>
      <c r="D95" s="95">
        <f t="shared" si="4"/>
        <v>-2.8208625838407997E-2</v>
      </c>
      <c r="E95" s="95"/>
      <c r="F95" s="119">
        <v>46047</v>
      </c>
      <c r="G95" s="97">
        <v>24825.44921875</v>
      </c>
      <c r="H95" s="95">
        <f t="shared" si="5"/>
        <v>-8.9107065009194075E-3</v>
      </c>
    </row>
    <row r="96" spans="2:8" x14ac:dyDescent="0.25">
      <c r="B96" s="119">
        <v>46054</v>
      </c>
      <c r="C96" s="97">
        <v>1450.80004882812</v>
      </c>
      <c r="D96" s="95">
        <f t="shared" si="4"/>
        <v>7.7060169879821894E-2</v>
      </c>
      <c r="E96" s="95"/>
      <c r="F96" s="119">
        <v>46054</v>
      </c>
      <c r="G96" s="97">
        <v>25693.69921875</v>
      </c>
      <c r="H96" s="95">
        <f t="shared" si="5"/>
        <v>3.4974190893763746E-2</v>
      </c>
    </row>
    <row r="97" spans="2:8" x14ac:dyDescent="0.25">
      <c r="B97" s="119">
        <v>46061</v>
      </c>
      <c r="C97" s="97">
        <v>1419.59997558593</v>
      </c>
      <c r="D97" s="95">
        <f t="shared" si="4"/>
        <v>-2.1505426104301395E-2</v>
      </c>
      <c r="E97" s="95"/>
      <c r="F97" s="119">
        <v>46061</v>
      </c>
      <c r="G97" s="97">
        <v>25471.099609375</v>
      </c>
      <c r="H97" s="95">
        <f t="shared" si="5"/>
        <v>-8.6635874219527231E-3</v>
      </c>
    </row>
    <row r="98" spans="2:8" x14ac:dyDescent="0.25">
      <c r="B98" s="119">
        <v>46068</v>
      </c>
      <c r="C98" s="97">
        <v>1419.40002441406</v>
      </c>
      <c r="D98" s="95">
        <f t="shared" si="4"/>
        <v>-1.4085036299571474E-4</v>
      </c>
      <c r="E98" s="95"/>
      <c r="F98" s="119">
        <v>46068</v>
      </c>
      <c r="G98" s="97">
        <v>25571.25</v>
      </c>
      <c r="H98" s="95">
        <f t="shared" si="5"/>
        <v>3.9319225381277967E-3</v>
      </c>
    </row>
    <row r="99" spans="2:8" x14ac:dyDescent="0.25">
      <c r="B99" s="119">
        <v>46075</v>
      </c>
      <c r="C99" s="97">
        <v>1393.90002441406</v>
      </c>
      <c r="D99" s="95">
        <f t="shared" si="4"/>
        <v>-1.7965337157526573E-2</v>
      </c>
      <c r="E99" s="95"/>
      <c r="F99" s="119">
        <v>46075</v>
      </c>
      <c r="G99" s="97">
        <v>25178.650390625</v>
      </c>
      <c r="H99" s="95">
        <f t="shared" si="5"/>
        <v>-1.5353164564696709E-2</v>
      </c>
    </row>
    <row r="100" spans="2:8" x14ac:dyDescent="0.25">
      <c r="B100" s="119">
        <v>46082</v>
      </c>
      <c r="C100" s="97">
        <v>1404.80004882812</v>
      </c>
      <c r="D100" s="95">
        <f t="shared" si="4"/>
        <v>7.8198035893155549E-3</v>
      </c>
      <c r="E100" s="95"/>
      <c r="F100" s="119">
        <v>46082</v>
      </c>
      <c r="G100" s="97">
        <v>24450.44921875</v>
      </c>
      <c r="H100" s="95">
        <f t="shared" si="5"/>
        <v>-2.8921374282480872E-2</v>
      </c>
    </row>
    <row r="101" spans="2:8" x14ac:dyDescent="0.25">
      <c r="B101" s="119">
        <v>46089</v>
      </c>
      <c r="C101" s="97">
        <v>1380.69995117187</v>
      </c>
      <c r="D101" s="95">
        <f t="shared" si="4"/>
        <v>-1.7155535890217455E-2</v>
      </c>
      <c r="E101" s="95"/>
      <c r="F101" s="119">
        <v>46089</v>
      </c>
      <c r="G101" s="97">
        <v>23151.099609375</v>
      </c>
      <c r="H101" s="95">
        <f t="shared" si="5"/>
        <v>-5.3142156929312567E-2</v>
      </c>
    </row>
    <row r="102" spans="2:8" x14ac:dyDescent="0.25">
      <c r="B102" s="119">
        <v>46096</v>
      </c>
      <c r="C102" s="97">
        <v>1414.40002441406</v>
      </c>
      <c r="D102" s="95">
        <f t="shared" si="4"/>
        <v>2.4407962941975114E-2</v>
      </c>
      <c r="F102" s="119">
        <v>46096</v>
      </c>
      <c r="G102" s="97">
        <v>23114.5</v>
      </c>
      <c r="H102" s="95">
        <f t="shared" si="5"/>
        <v>-1.5809015551113692E-3</v>
      </c>
    </row>
    <row r="103" spans="2:8" x14ac:dyDescent="0.25">
      <c r="B103" s="119">
        <v>46103</v>
      </c>
      <c r="C103" s="97">
        <v>1348.09997558593</v>
      </c>
      <c r="D103" s="95">
        <f t="shared" si="4"/>
        <v>-4.6875033713037362E-2</v>
      </c>
      <c r="F103" s="119">
        <v>46103</v>
      </c>
      <c r="G103" s="97">
        <v>22819.599609375</v>
      </c>
      <c r="H103" s="95">
        <f t="shared" si="5"/>
        <v>-1.2758242255943242E-2</v>
      </c>
    </row>
    <row r="104" spans="2:8" x14ac:dyDescent="0.25">
      <c r="B104" s="119">
        <v>46110</v>
      </c>
      <c r="C104" s="97">
        <v>1350.5</v>
      </c>
      <c r="D104" s="95">
        <f t="shared" ref="D104:D111" si="6">C104/C103-1</f>
        <v>1.7803015039941084E-3</v>
      </c>
      <c r="F104" s="119">
        <v>46110</v>
      </c>
      <c r="G104" s="97">
        <v>22713.099609375</v>
      </c>
      <c r="H104" s="95">
        <f t="shared" ref="H104:H111" si="7">G104/G103-1</f>
        <v>-4.6670406940990672E-3</v>
      </c>
    </row>
    <row r="105" spans="2:8" x14ac:dyDescent="0.25">
      <c r="B105" s="119">
        <v>46117</v>
      </c>
      <c r="C105" s="97">
        <v>1350.19995117187</v>
      </c>
      <c r="D105" s="95">
        <f t="shared" si="6"/>
        <v>-2.2217610376151775E-4</v>
      </c>
      <c r="F105" s="119">
        <v>46117</v>
      </c>
      <c r="G105" s="97">
        <v>24050.599609375</v>
      </c>
      <c r="H105" s="95">
        <f t="shared" si="7"/>
        <v>5.888672277243634E-2</v>
      </c>
    </row>
    <row r="106" spans="2:8" x14ac:dyDescent="0.25">
      <c r="B106" s="119">
        <v>46124</v>
      </c>
      <c r="C106" s="97">
        <v>1365</v>
      </c>
      <c r="D106" s="95">
        <f t="shared" si="6"/>
        <v>1.0961375620910596E-2</v>
      </c>
      <c r="F106" s="119">
        <v>46124</v>
      </c>
      <c r="G106" s="97">
        <v>24353.55078125</v>
      </c>
      <c r="H106" s="95">
        <f t="shared" si="7"/>
        <v>1.2596408272370407E-2</v>
      </c>
    </row>
    <row r="107" spans="2:8" x14ac:dyDescent="0.25">
      <c r="B107" s="119">
        <v>46131</v>
      </c>
      <c r="C107" s="97">
        <v>1327.80004882812</v>
      </c>
      <c r="D107" s="95">
        <f t="shared" si="6"/>
        <v>-2.7252711481230762E-2</v>
      </c>
      <c r="F107" s="119">
        <v>46131</v>
      </c>
      <c r="G107" s="97">
        <v>23897.94921875</v>
      </c>
      <c r="H107" s="95">
        <f t="shared" si="7"/>
        <v>-1.8707808425651451E-2</v>
      </c>
    </row>
    <row r="108" spans="2:8" x14ac:dyDescent="0.25">
      <c r="B108" s="119">
        <v>46138</v>
      </c>
      <c r="C108" s="97">
        <v>1430.80004882812</v>
      </c>
      <c r="D108" s="95">
        <f t="shared" si="6"/>
        <v>7.7571920629845525E-2</v>
      </c>
      <c r="F108" s="119">
        <v>46138</v>
      </c>
      <c r="G108" s="97">
        <v>23997.55078125</v>
      </c>
      <c r="H108" s="95">
        <f t="shared" si="7"/>
        <v>4.1677870175509391E-3</v>
      </c>
    </row>
    <row r="109" spans="2:8" x14ac:dyDescent="0.25">
      <c r="B109" s="119">
        <v>46145</v>
      </c>
      <c r="C109" s="97">
        <v>1435.19995117187</v>
      </c>
      <c r="D109" s="95">
        <f t="shared" si="6"/>
        <v>3.0751343259693975E-3</v>
      </c>
      <c r="F109" s="119">
        <v>46145</v>
      </c>
      <c r="G109" s="97">
        <v>24176.150390625</v>
      </c>
      <c r="H109" s="95">
        <f t="shared" si="7"/>
        <v>7.442409894369062E-3</v>
      </c>
    </row>
    <row r="110" spans="2:8" x14ac:dyDescent="0.25">
      <c r="B110" s="119">
        <v>46152</v>
      </c>
      <c r="C110" s="97">
        <v>1336.40002441406</v>
      </c>
      <c r="D110" s="95">
        <f t="shared" si="6"/>
        <v>-6.8840531019484619E-2</v>
      </c>
      <c r="F110" s="119">
        <v>46152</v>
      </c>
      <c r="G110" s="97">
        <v>23643.5</v>
      </c>
      <c r="H110" s="95">
        <f t="shared" si="7"/>
        <v>-2.2032059778696267E-2</v>
      </c>
    </row>
    <row r="111" spans="2:8" x14ac:dyDescent="0.25">
      <c r="B111" s="119">
        <v>46159</v>
      </c>
      <c r="C111" s="97">
        <v>1324.09997558593</v>
      </c>
      <c r="D111" s="95">
        <f t="shared" si="6"/>
        <v>-9.2038675571881612E-3</v>
      </c>
      <c r="F111" s="119">
        <v>46159</v>
      </c>
      <c r="G111" s="97">
        <v>23536.849609375</v>
      </c>
      <c r="H111" s="95">
        <f t="shared" si="7"/>
        <v>-4.5107700054983768E-3</v>
      </c>
    </row>
  </sheetData>
  <mergeCells count="2">
    <mergeCell ref="B4:D4"/>
    <mergeCell ref="K4:L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187C9-0F65-4408-A9CC-47F62AEDE408}">
  <sheetPr codeName="Sheet1">
    <tabColor rgb="FF0275D8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123-4901-4E7B-8AFA-4786C8816EA2}">
  <dimension ref="B2:O41"/>
  <sheetViews>
    <sheetView showGridLines="0" zoomScaleNormal="100" workbookViewId="0">
      <selection activeCell="B2" sqref="B2:O2"/>
    </sheetView>
  </sheetViews>
  <sheetFormatPr defaultRowHeight="15" x14ac:dyDescent="0.25"/>
  <cols>
    <col min="1" max="1" width="1.85546875" customWidth="1"/>
    <col min="2" max="2" width="27" bestFit="1" customWidth="1"/>
    <col min="3" max="8" width="10.140625" bestFit="1" customWidth="1"/>
    <col min="9" max="9" width="9.5703125" bestFit="1" customWidth="1"/>
    <col min="10" max="12" width="10.140625" bestFit="1" customWidth="1"/>
    <col min="13" max="13" width="20.7109375" customWidth="1"/>
    <col min="14" max="15" width="10.140625" bestFit="1" customWidth="1"/>
  </cols>
  <sheetData>
    <row r="2" spans="2:15" x14ac:dyDescent="0.25">
      <c r="B2" s="171" t="str">
        <f>"Ratio Analysis- "&amp;'Data Sheet'!B1</f>
        <v>Ratio Analysis- RELIANCE INDUSTRIES LTD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</row>
    <row r="3" spans="2:15" x14ac:dyDescent="0.25">
      <c r="B3" s="20" t="s">
        <v>56</v>
      </c>
      <c r="C3" s="21">
        <f>'Data Sheet'!B16</f>
        <v>42825</v>
      </c>
      <c r="D3" s="21">
        <f>'Data Sheet'!C16</f>
        <v>43190</v>
      </c>
      <c r="E3" s="21">
        <f>'Data Sheet'!D16</f>
        <v>43555</v>
      </c>
      <c r="F3" s="21">
        <f>'Data Sheet'!E16</f>
        <v>43921</v>
      </c>
      <c r="G3" s="21">
        <f>'Data Sheet'!F16</f>
        <v>44286</v>
      </c>
      <c r="H3" s="21">
        <f>'Data Sheet'!G16</f>
        <v>44651</v>
      </c>
      <c r="I3" s="21">
        <f>'Data Sheet'!H16</f>
        <v>45016</v>
      </c>
      <c r="J3" s="21">
        <f>'Data Sheet'!I16</f>
        <v>45382</v>
      </c>
      <c r="K3" s="21">
        <f>'Data Sheet'!J16</f>
        <v>45747</v>
      </c>
      <c r="L3" s="21">
        <f>'Data Sheet'!K16</f>
        <v>46112</v>
      </c>
      <c r="M3" s="21"/>
      <c r="N3" s="21" t="s">
        <v>146</v>
      </c>
      <c r="O3" s="21" t="s">
        <v>147</v>
      </c>
    </row>
    <row r="5" spans="2:15" x14ac:dyDescent="0.25">
      <c r="B5" s="43" t="s">
        <v>115</v>
      </c>
      <c r="C5" s="43"/>
      <c r="D5" s="44">
        <f>IFERROR(HistoricalFS!D8,0)</f>
        <v>0.28579653500200686</v>
      </c>
      <c r="E5" s="44">
        <f>IFERROR(HistoricalFS!E8,0)</f>
        <v>0.45420561225925793</v>
      </c>
      <c r="F5" s="44">
        <f>IFERROR(HistoricalFS!F8,0)</f>
        <v>4.9868299969912266E-2</v>
      </c>
      <c r="G5" s="44">
        <f>IFERROR(HistoricalFS!G8,0)</f>
        <v>-0.21849604226057895</v>
      </c>
      <c r="H5" s="44">
        <f>IFERROR(HistoricalFS!H8,0)</f>
        <v>0.48973315862725619</v>
      </c>
      <c r="I5" s="44">
        <f>IFERROR(HistoricalFS!I8,0)</f>
        <v>0.26159502384575184</v>
      </c>
      <c r="J5" s="44">
        <f>IFERROR(HistoricalFS!J8,0)</f>
        <v>2.5838776078393799E-2</v>
      </c>
      <c r="K5" s="44">
        <f>IFERROR(HistoricalFS!K8,0)</f>
        <v>7.0941147289167006E-2</v>
      </c>
      <c r="L5" s="44">
        <f>IFERROR(HistoricalFS!L8,0)</f>
        <v>9.8044286574852979E-2</v>
      </c>
      <c r="M5" s="43"/>
      <c r="N5" s="44">
        <f>IFERROR(AVERAGE(D5:L5),0)</f>
        <v>0.16861408859844668</v>
      </c>
      <c r="O5" s="44">
        <f>IFERROR(MEDIAN(D5:L5),0)</f>
        <v>9.8044286574852979E-2</v>
      </c>
    </row>
    <row r="6" spans="2:15" x14ac:dyDescent="0.25">
      <c r="B6" t="s">
        <v>116</v>
      </c>
      <c r="D6" s="45">
        <f>IFERROR(HistoricalFS!D19/HistoricalFS!C19-1,0)</f>
        <v>0.33595058437933334</v>
      </c>
      <c r="E6" s="45">
        <f>IFERROR(HistoricalFS!E19/HistoricalFS!D19-1,0)</f>
        <v>0.24900248031920635</v>
      </c>
      <c r="F6" s="45">
        <f>IFERROR(HistoricalFS!F19/HistoricalFS!E19-1,0)</f>
        <v>5.5905715765843578E-2</v>
      </c>
      <c r="G6" s="45">
        <f>IFERROR(HistoricalFS!G19/HistoricalFS!F19-1,0)</f>
        <v>5.5051310356106109E-2</v>
      </c>
      <c r="H6" s="45">
        <f>IFERROR(HistoricalFS!H19/HistoricalFS!G19-1,0)</f>
        <v>0.2417992288465638</v>
      </c>
      <c r="I6" s="45">
        <f>IFERROR(HistoricalFS!I19/HistoricalFS!H19-1,0)</f>
        <v>0.20406300465747651</v>
      </c>
      <c r="J6" s="45">
        <f>IFERROR(HistoricalFS!J19/HistoricalFS!I19-1,0)</f>
        <v>0.15519185165027416</v>
      </c>
      <c r="K6" s="45">
        <f>IFERROR(HistoricalFS!K19/HistoricalFS!J19-1,0)</f>
        <v>2.8784564473610441E-2</v>
      </c>
      <c r="L6" s="45">
        <f>IFERROR(HistoricalFS!L19/HistoricalFS!K19-1,0)</f>
        <v>0.13351179247854672</v>
      </c>
      <c r="N6" s="45">
        <f t="shared" ref="N6:N9" si="0">IFERROR(AVERAGE(D6:L6),0)</f>
        <v>0.16214005921410679</v>
      </c>
      <c r="O6" s="45">
        <f t="shared" ref="O6:O9" si="1">IFERROR(MEDIAN(D6:L6),0)</f>
        <v>0.15519185165027416</v>
      </c>
    </row>
    <row r="7" spans="2:15" x14ac:dyDescent="0.25">
      <c r="B7" t="s">
        <v>117</v>
      </c>
      <c r="D7" s="45">
        <f>IFERROR(HistoricalFS!D30/HistoricalFS!C30-1,0)</f>
        <v>0.23460058949892582</v>
      </c>
      <c r="E7" s="45">
        <f>IFERROR(HistoricalFS!E30/HistoricalFS!D30-1,0)</f>
        <v>0.1173673774936268</v>
      </c>
      <c r="F7" s="45">
        <f>IFERROR(HistoricalFS!F30/HistoricalFS!E30-1,0)</f>
        <v>-2.9351585275318226E-2</v>
      </c>
      <c r="G7" s="45">
        <f>IFERROR(HistoricalFS!G30/HistoricalFS!F30-1,0)</f>
        <v>3.4604335335596703E-2</v>
      </c>
      <c r="H7" s="45">
        <f>IFERROR(HistoricalFS!H30/HistoricalFS!G30-1,0)</f>
        <v>0.51124213411225905</v>
      </c>
      <c r="I7" s="45">
        <f>IFERROR(HistoricalFS!I30/HistoricalFS!H30-1,0)</f>
        <v>0.12705363001849301</v>
      </c>
      <c r="J7" s="45">
        <f>IFERROR(HistoricalFS!J30/HistoricalFS!I30-1,0)</f>
        <v>0.10454776422764223</v>
      </c>
      <c r="K7" s="45">
        <f>IFERROR(HistoricalFS!K30/HistoricalFS!J30-1,0)</f>
        <v>1.6072455434157584E-2</v>
      </c>
      <c r="L7" s="45">
        <f>IFERROR(HistoricalFS!L30/HistoricalFS!K30-1,0)</f>
        <v>0.1617193468971958</v>
      </c>
      <c r="N7" s="45">
        <f t="shared" si="0"/>
        <v>0.14198400530473096</v>
      </c>
      <c r="O7" s="45">
        <f t="shared" si="1"/>
        <v>0.1173673774936268</v>
      </c>
    </row>
    <row r="8" spans="2:15" x14ac:dyDescent="0.25">
      <c r="B8" t="s">
        <v>118</v>
      </c>
      <c r="D8" s="45">
        <f>IFERROR(HistoricalFS!D36/HistoricalFS!C36-1,0)</f>
        <v>0.20939898769818655</v>
      </c>
      <c r="E8" s="45">
        <f>IFERROR(HistoricalFS!E36/HistoricalFS!D36-1,0)</f>
        <v>0.10412971175166308</v>
      </c>
      <c r="F8" s="45">
        <f>IFERROR(HistoricalFS!F36/HistoricalFS!E36-1,0)</f>
        <v>1.0793985490875624E-3</v>
      </c>
      <c r="G8" s="45">
        <f>IFERROR(HistoricalFS!G36/HistoricalFS!F36-1,0)</f>
        <v>0.3475175526579739</v>
      </c>
      <c r="H8" s="45">
        <f>IFERROR(HistoricalFS!H36/HistoricalFS!G36-1,0)</f>
        <v>0.26249092837603971</v>
      </c>
      <c r="I8" s="45">
        <f>IFERROR(HistoricalFS!I36/HistoricalFS!H36-1,0)</f>
        <v>9.2018571744417521E-2</v>
      </c>
      <c r="J8" s="45">
        <f>IFERROR(HistoricalFS!J36/HistoricalFS!I36-1,0)</f>
        <v>6.1345966958211928E-2</v>
      </c>
      <c r="K8" s="45">
        <f>IFERROR(HistoricalFS!K36/HistoricalFS!J36-1,0)</f>
        <v>2.7393079241539775E-2</v>
      </c>
      <c r="L8" s="45">
        <f>IFERROR(HistoricalFS!L36/HistoricalFS!K36-1,0)</f>
        <v>0.18348249099483827</v>
      </c>
      <c r="N8" s="45">
        <f t="shared" si="0"/>
        <v>0.14320629866355092</v>
      </c>
      <c r="O8" s="45">
        <f t="shared" si="1"/>
        <v>0.10412971175166308</v>
      </c>
    </row>
    <row r="9" spans="2:15" x14ac:dyDescent="0.25">
      <c r="B9" s="46" t="s">
        <v>119</v>
      </c>
      <c r="C9" s="46"/>
      <c r="D9" s="47">
        <f>IFERROR(HistoricalFS!D44/HistoricalFS!C44,0)</f>
        <v>1.1205897450317219</v>
      </c>
      <c r="E9" s="47">
        <f>IFERROR(HistoricalFS!E44/HistoricalFS!D44,0)</f>
        <v>1.0833676159835821</v>
      </c>
      <c r="F9" s="47">
        <f>IFERROR(HistoricalFS!F44/HistoricalFS!E44,0)</f>
        <v>1.069605871424866</v>
      </c>
      <c r="G9" s="47">
        <f>IFERROR(HistoricalFS!G44/HistoricalFS!F44,0)</f>
        <v>1.1678869479688518</v>
      </c>
      <c r="H9" s="47">
        <f>IFERROR(HistoricalFS!H44/HistoricalFS!G44,0)</f>
        <v>1.1241571470100142</v>
      </c>
      <c r="I9" s="47">
        <f>IFERROR(HistoricalFS!I44/HistoricalFS!H44,0)</f>
        <v>1.1250498822529102</v>
      </c>
      <c r="J9" s="47">
        <f>IFERROR(HistoricalFS!J44/HistoricalFS!I44,0)</f>
        <v>1.111094688403762</v>
      </c>
      <c r="K9" s="47">
        <f>IFERROR(HistoricalFS!K44/HistoricalFS!J44,0)</f>
        <v>1.0999187136058646</v>
      </c>
      <c r="L9" s="47">
        <f>IFERROR(HistoricalFS!L44/HistoricalFS!K44,0)</f>
        <v>1.0909010295080865</v>
      </c>
      <c r="M9" s="46"/>
      <c r="N9" s="47">
        <f t="shared" si="0"/>
        <v>1.1102857379099622</v>
      </c>
      <c r="O9" s="47">
        <f t="shared" si="1"/>
        <v>1.111094688403762</v>
      </c>
    </row>
    <row r="10" spans="2:15" x14ac:dyDescent="0.25">
      <c r="N10" s="9"/>
      <c r="O10" s="9"/>
    </row>
    <row r="11" spans="2:15" x14ac:dyDescent="0.25">
      <c r="B11" s="43" t="s">
        <v>120</v>
      </c>
      <c r="C11" s="44">
        <f>IFERROR(HistoricalFS!C14,0)</f>
        <v>0.23466708778301981</v>
      </c>
      <c r="D11" s="44">
        <f>IFERROR(HistoricalFS!D14,0)</f>
        <v>0.25444510686423266</v>
      </c>
      <c r="E11" s="44">
        <f>IFERROR(HistoricalFS!E14,0)</f>
        <v>0.24728462162414203</v>
      </c>
      <c r="F11" s="44">
        <f>IFERROR(HistoricalFS!F14,0)</f>
        <v>0.2671486678766975</v>
      </c>
      <c r="G11" s="44">
        <f>IFERROR(HistoricalFS!G14,0)</f>
        <v>0.34380783475264148</v>
      </c>
      <c r="H11" s="44">
        <f>IFERROR(HistoricalFS!H14,0)</f>
        <v>0.27703250306259203</v>
      </c>
      <c r="I11" s="44">
        <f>IFERROR(HistoricalFS!I14,0)</f>
        <v>0.26282753458482239</v>
      </c>
      <c r="J11" s="44">
        <f>IFERROR(HistoricalFS!J14,0)</f>
        <v>0.29297662731733037</v>
      </c>
      <c r="K11" s="44">
        <f>IFERROR(HistoricalFS!K14,0)</f>
        <v>0.29103570760889885</v>
      </c>
      <c r="L11" s="44">
        <f>IFERROR(HistoricalFS!L14,0)</f>
        <v>0.34732633446807143</v>
      </c>
      <c r="M11" s="43"/>
      <c r="N11" s="44">
        <f>IFERROR(AVERAGE(C11:L11),0)</f>
        <v>0.28185520259424479</v>
      </c>
      <c r="O11" s="44">
        <f>IFERROR(MEDIAN(C11:L11),0)</f>
        <v>0.27209058546964476</v>
      </c>
    </row>
    <row r="12" spans="2:15" x14ac:dyDescent="0.25">
      <c r="B12" t="s">
        <v>121</v>
      </c>
      <c r="C12" s="45">
        <f>IFERROR(HistoricalFS!C20,0)</f>
        <v>0.18268882791475025</v>
      </c>
      <c r="D12" s="45">
        <f>IFERROR(HistoricalFS!D20,0)</f>
        <v>0.18981482666066224</v>
      </c>
      <c r="E12" s="45">
        <f>IFERROR(HistoricalFS!E20,0)</f>
        <v>0.16303003323732224</v>
      </c>
      <c r="F12" s="45">
        <f>IFERROR(HistoricalFS!F20,0)</f>
        <v>0.16396756044707456</v>
      </c>
      <c r="G12" s="45">
        <f>IFERROR(HistoricalFS!G20,0)</f>
        <v>0.22136060578116992</v>
      </c>
      <c r="H12" s="45">
        <f>IFERROR(HistoricalFS!H20,0)</f>
        <v>0.18451991080695521</v>
      </c>
      <c r="I12" s="45">
        <f>IFERROR(HistoricalFS!I20,0)</f>
        <v>0.1761053222515849</v>
      </c>
      <c r="J12" s="45">
        <f>IFERROR(HistoricalFS!J20,0)</f>
        <v>0.19831131171993269</v>
      </c>
      <c r="K12" s="45">
        <f>IFERROR(HistoricalFS!K20,0)</f>
        <v>0.19050497496936084</v>
      </c>
      <c r="L12" s="45">
        <f>IFERROR(HistoricalFS!L20,0)</f>
        <v>0.19665840284747058</v>
      </c>
      <c r="N12" s="45">
        <f t="shared" ref="N12:N41" si="2">IFERROR(AVERAGE(C12:L12),0)</f>
        <v>0.18669617766362834</v>
      </c>
      <c r="O12" s="45">
        <f t="shared" ref="O12:O41" si="3">IFERROR(MEDIAN(C12:L12),0)</f>
        <v>0.18716736873380874</v>
      </c>
    </row>
    <row r="13" spans="2:15" x14ac:dyDescent="0.25">
      <c r="B13" t="s">
        <v>122</v>
      </c>
      <c r="C13" s="45">
        <f>IFERROR(HistoricalFS!C25/HistoricalFS!C6,0)</f>
        <v>0.1443738197227212</v>
      </c>
      <c r="D13" s="45">
        <f>IFERROR(HistoricalFS!D25/HistoricalFS!D6,0)</f>
        <v>0.14706913359756207</v>
      </c>
      <c r="E13" s="45">
        <f>IFERROR(HistoricalFS!E25/HistoricalFS!E6,0)</f>
        <v>0.12619625327930437</v>
      </c>
      <c r="F13" s="45">
        <f>IFERROR(HistoricalFS!F25/HistoricalFS!F6,0)</f>
        <v>0.12675659776864948</v>
      </c>
      <c r="G13" s="45">
        <f>IFERROR(HistoricalFS!G25/HistoricalFS!G6,0)</f>
        <v>0.1643766874612648</v>
      </c>
      <c r="H13" s="45">
        <f>IFERROR(HistoricalFS!H25/HistoricalFS!H6,0)</f>
        <v>0.14164794082971413</v>
      </c>
      <c r="I13" s="45">
        <f>IFERROR(HistoricalFS!I25/HistoricalFS!I6,0)</f>
        <v>0.1301181201192155</v>
      </c>
      <c r="J13" s="45">
        <f>IFERROR(HistoricalFS!J25/HistoricalFS!J6,0)</f>
        <v>0.14177106494587011</v>
      </c>
      <c r="K13" s="45">
        <f>IFERROR(HistoricalFS!K25/HistoricalFS!K6,0)</f>
        <v>0.13531708938326997</v>
      </c>
      <c r="L13" s="45">
        <f>IFERROR(HistoricalFS!L25/HistoricalFS!L6,0)</f>
        <v>0.14209260333005744</v>
      </c>
      <c r="N13" s="45">
        <f t="shared" si="2"/>
        <v>0.13997193104376288</v>
      </c>
      <c r="O13" s="45">
        <f t="shared" si="3"/>
        <v>0.1417095028877921</v>
      </c>
    </row>
    <row r="14" spans="2:15" x14ac:dyDescent="0.25">
      <c r="B14" t="s">
        <v>144</v>
      </c>
      <c r="C14" s="45">
        <f>IFERROR(HistoricalFS!C31,0)</f>
        <v>0.13171071938517012</v>
      </c>
      <c r="D14" s="45">
        <f>IFERROR(HistoricalFS!D31,0)</f>
        <v>0.12646645668243681</v>
      </c>
      <c r="E14" s="45">
        <f>IFERROR(HistoricalFS!E31,0)</f>
        <v>9.7172980115670812E-2</v>
      </c>
      <c r="F14" s="45">
        <f>IFERROR(HistoricalFS!F31,0)</f>
        <v>8.9840601060201544E-2</v>
      </c>
      <c r="G14" s="45">
        <f>IFERROR(HistoricalFS!G31,0)</f>
        <v>0.11893666618772611</v>
      </c>
      <c r="H14" s="45">
        <f>IFERROR(HistoricalFS!H31,0)</f>
        <v>0.12065389039159431</v>
      </c>
      <c r="I14" s="45">
        <f>IFERROR(HistoricalFS!I31,0)</f>
        <v>0.10778689085755755</v>
      </c>
      <c r="J14" s="45">
        <f>IFERROR(HistoricalFS!J31,0)</f>
        <v>0.11605699851285982</v>
      </c>
      <c r="K14" s="45">
        <f>IFERROR(HistoricalFS!K31,0)</f>
        <v>0.11011092416027918</v>
      </c>
      <c r="L14" s="45">
        <f>IFERROR(HistoricalFS!L31,0)</f>
        <v>0.11649620371938076</v>
      </c>
      <c r="N14" s="45">
        <f t="shared" si="2"/>
        <v>0.11352323310728771</v>
      </c>
      <c r="O14" s="45">
        <f t="shared" si="3"/>
        <v>0.11627660111612029</v>
      </c>
    </row>
    <row r="15" spans="2:15" x14ac:dyDescent="0.25">
      <c r="B15" s="46" t="s">
        <v>123</v>
      </c>
      <c r="C15" s="47">
        <f>IFERROR(HistoricalFS!C37,0)</f>
        <v>9.8149720023424591E-2</v>
      </c>
      <c r="D15" s="47">
        <f>IFERROR(HistoricalFS!D37,0)</f>
        <v>9.2318005849195153E-2</v>
      </c>
      <c r="E15" s="47">
        <f>IFERROR(HistoricalFS!E37,0)</f>
        <v>7.0093975933293098E-2</v>
      </c>
      <c r="F15" s="47">
        <f>IFERROR(HistoricalFS!F37,0)</f>
        <v>6.6836607288005778E-2</v>
      </c>
      <c r="G15" s="47">
        <f>IFERROR(HistoricalFS!G37,0)</f>
        <v>0.11524382005845935</v>
      </c>
      <c r="H15" s="47">
        <f>IFERROR(HistoricalFS!H37,0)</f>
        <v>9.7664656608217104E-2</v>
      </c>
      <c r="I15" s="47">
        <f>IFERROR(HistoricalFS!I37,0)</f>
        <v>8.4537127052154507E-2</v>
      </c>
      <c r="J15" s="47">
        <f>IFERROR(HistoricalFS!J37,0)</f>
        <v>8.7463196895358503E-2</v>
      </c>
      <c r="K15" s="47">
        <f>IFERROR(HistoricalFS!K37,0)</f>
        <v>8.3906649217922347E-2</v>
      </c>
      <c r="L15" s="47">
        <f>IFERROR(HistoricalFS!L37,0)</f>
        <v>9.0435378100469255E-2</v>
      </c>
      <c r="M15" s="46"/>
      <c r="N15" s="47">
        <f t="shared" si="2"/>
        <v>8.8664913702649978E-2</v>
      </c>
      <c r="O15" s="47">
        <f t="shared" si="3"/>
        <v>8.8949287497913879E-2</v>
      </c>
    </row>
    <row r="16" spans="2:15" x14ac:dyDescent="0.25">
      <c r="N16" s="9"/>
      <c r="O16" s="9"/>
    </row>
    <row r="17" spans="2:15" x14ac:dyDescent="0.25">
      <c r="B17" s="43" t="s">
        <v>124</v>
      </c>
      <c r="C17" s="44">
        <f>IFERROR(HistoricalFS!C17,0)</f>
        <v>5.1978259868269538E-2</v>
      </c>
      <c r="D17" s="44">
        <f>IFERROR(HistoricalFS!D17,0)</f>
        <v>6.4630280203570409E-2</v>
      </c>
      <c r="E17" s="44">
        <f>IFERROR(HistoricalFS!E17,0)</f>
        <v>8.425458838681979E-2</v>
      </c>
      <c r="F17" s="44">
        <f>IFERROR(HistoricalFS!F17,0)</f>
        <v>0.10318110742962296</v>
      </c>
      <c r="G17" s="44">
        <f>IFERROR(HistoricalFS!G17,0)</f>
        <v>0.12244722897147159</v>
      </c>
      <c r="H17" s="44">
        <f>IFERROR(HistoricalFS!H17,0)</f>
        <v>9.2512592255636822E-2</v>
      </c>
      <c r="I17" s="44">
        <f>IFERROR(HistoricalFS!I17,0)</f>
        <v>8.6722212333237486E-2</v>
      </c>
      <c r="J17" s="44">
        <f>IFERROR(HistoricalFS!J17,0)</f>
        <v>9.4665315597397673E-2</v>
      </c>
      <c r="K17" s="44">
        <f>IFERROR(HistoricalFS!K17,0)</f>
        <v>0.10053073263953802</v>
      </c>
      <c r="L17" s="44">
        <f>IFERROR(HistoricalFS!L17,0)</f>
        <v>0.15066793162060085</v>
      </c>
      <c r="M17" s="43"/>
      <c r="N17" s="44">
        <f t="shared" si="2"/>
        <v>9.5159024930616523E-2</v>
      </c>
      <c r="O17" s="44">
        <f t="shared" si="3"/>
        <v>9.3588953926517254E-2</v>
      </c>
    </row>
    <row r="18" spans="2:15" x14ac:dyDescent="0.25">
      <c r="B18" t="s">
        <v>125</v>
      </c>
      <c r="C18" s="45">
        <f>IFERROR(HistoricalFS!C27/HistoricalFS!C6,0)</f>
        <v>3.8315008192029057E-2</v>
      </c>
      <c r="D18" s="45">
        <f>IFERROR(HistoricalFS!D27/HistoricalFS!D6,0)</f>
        <v>4.2745693063100179E-2</v>
      </c>
      <c r="E18" s="45">
        <f>IFERROR(HistoricalFS!E27/HistoricalFS!E6,0)</f>
        <v>3.6833779958017863E-2</v>
      </c>
      <c r="F18" s="45">
        <f>IFERROR(HistoricalFS!F27/HistoricalFS!F6,0)</f>
        <v>3.721096267842508E-2</v>
      </c>
      <c r="G18" s="45">
        <f>IFERROR(HistoricalFS!G27/HistoricalFS!G6,0)</f>
        <v>5.6983918319905125E-2</v>
      </c>
      <c r="H18" s="45">
        <f>IFERROR(HistoricalFS!H27/HistoricalFS!H6,0)</f>
        <v>4.2871969977241089E-2</v>
      </c>
      <c r="I18" s="45">
        <f>IFERROR(HistoricalFS!I27/HistoricalFS!I6,0)</f>
        <v>4.5987202132369384E-2</v>
      </c>
      <c r="J18" s="45">
        <f>IFERROR(HistoricalFS!J27/HistoricalFS!J6,0)</f>
        <v>5.6540246774062587E-2</v>
      </c>
      <c r="K18" s="45">
        <f>IFERROR(HistoricalFS!K27/HistoricalFS!K6,0)</f>
        <v>5.5187885586090855E-2</v>
      </c>
      <c r="L18" s="45">
        <f>IFERROR(HistoricalFS!L27/HistoricalFS!L6,0)</f>
        <v>5.4565799517413138E-2</v>
      </c>
      <c r="N18" s="45">
        <f t="shared" si="2"/>
        <v>4.6724246619865441E-2</v>
      </c>
      <c r="O18" s="45">
        <f t="shared" si="3"/>
        <v>4.4429586054805237E-2</v>
      </c>
    </row>
    <row r="19" spans="2:15" x14ac:dyDescent="0.25">
      <c r="B19" s="46" t="s">
        <v>126</v>
      </c>
      <c r="C19" s="47">
        <f>IFERROR(HistoricalFS!C25/HistoricalFS!C6,0)</f>
        <v>0.1443738197227212</v>
      </c>
      <c r="D19" s="47">
        <f>IFERROR(HistoricalFS!D25/HistoricalFS!D6,0)</f>
        <v>0.14706913359756207</v>
      </c>
      <c r="E19" s="47">
        <f>IFERROR(HistoricalFS!E25/HistoricalFS!E6,0)</f>
        <v>0.12619625327930437</v>
      </c>
      <c r="F19" s="47">
        <f>IFERROR(HistoricalFS!F25/HistoricalFS!F6,0)</f>
        <v>0.12675659776864948</v>
      </c>
      <c r="G19" s="47">
        <f>IFERROR(HistoricalFS!G25/HistoricalFS!G6,0)</f>
        <v>0.1643766874612648</v>
      </c>
      <c r="H19" s="47">
        <f>IFERROR(HistoricalFS!H25/HistoricalFS!H6,0)</f>
        <v>0.14164794082971413</v>
      </c>
      <c r="I19" s="47">
        <f>IFERROR(HistoricalFS!I25/HistoricalFS!I6,0)</f>
        <v>0.1301181201192155</v>
      </c>
      <c r="J19" s="47">
        <f>IFERROR(HistoricalFS!J25/HistoricalFS!J6,0)</f>
        <v>0.14177106494587011</v>
      </c>
      <c r="K19" s="47">
        <f>IFERROR(HistoricalFS!K25/HistoricalFS!K6,0)</f>
        <v>0.13531708938326997</v>
      </c>
      <c r="L19" s="47">
        <f>IFERROR(HistoricalFS!L25/HistoricalFS!L6,0)</f>
        <v>0.14209260333005744</v>
      </c>
      <c r="M19" s="46"/>
      <c r="N19" s="47">
        <f t="shared" si="2"/>
        <v>0.13997193104376288</v>
      </c>
      <c r="O19" s="47">
        <f t="shared" si="3"/>
        <v>0.1417095028877921</v>
      </c>
    </row>
    <row r="20" spans="2:15" x14ac:dyDescent="0.25">
      <c r="N20" s="9"/>
      <c r="O20" s="9"/>
    </row>
    <row r="21" spans="2:15" x14ac:dyDescent="0.25">
      <c r="B21" s="43" t="s">
        <v>127</v>
      </c>
      <c r="C21" s="44">
        <f>IFERROR(HistoricalFS!C25/SUM(HistoricalFS!C51:C53),0)</f>
        <v>9.1197961694486934E-2</v>
      </c>
      <c r="D21" s="44">
        <f>IFERROR(HistoricalFS!D25/SUM(HistoricalFS!D51:D53),0)</f>
        <v>0.10776808431252331</v>
      </c>
      <c r="E21" s="44">
        <f>IFERROR(HistoricalFS!E25/SUM(HistoricalFS!E51:E53),0)</f>
        <v>0.10322296517401479</v>
      </c>
      <c r="F21" s="44">
        <f>IFERROR(HistoricalFS!F25/SUM(HistoricalFS!F51:F53),0)</f>
        <v>9.4035924450981537E-2</v>
      </c>
      <c r="G21" s="44">
        <f>IFERROR(HistoricalFS!G25/SUM(HistoricalFS!G51:G53),0)</f>
        <v>7.8283462733395023E-2</v>
      </c>
      <c r="H21" s="44">
        <f>IFERROR(HistoricalFS!H25/SUM(HistoricalFS!H51:H53),0)</f>
        <v>8.9564125926256302E-2</v>
      </c>
      <c r="I21" s="44">
        <f>IFERROR(HistoricalFS!I25/SUM(HistoricalFS!I51:I53),0)</f>
        <v>9.7671506488879151E-2</v>
      </c>
      <c r="J21" s="44">
        <f>IFERROR(HistoricalFS!J25/SUM(HistoricalFS!J51:J53),0)</f>
        <v>0.11139486103828002</v>
      </c>
      <c r="K21" s="44">
        <f>IFERROR(HistoricalFS!K25/SUM(HistoricalFS!K51:K53),0)</f>
        <v>0.10700994568435819</v>
      </c>
      <c r="L21" s="44">
        <f>IFERROR(HistoricalFS!L25/SUM(HistoricalFS!L51:L53),0)</f>
        <v>0.11537598980054223</v>
      </c>
      <c r="M21" s="43"/>
      <c r="N21" s="44">
        <f t="shared" si="2"/>
        <v>9.9552482730371733E-2</v>
      </c>
      <c r="O21" s="44">
        <f t="shared" si="3"/>
        <v>0.10044723583144696</v>
      </c>
    </row>
    <row r="22" spans="2:15" x14ac:dyDescent="0.25">
      <c r="B22" t="s">
        <v>128</v>
      </c>
      <c r="C22" s="45">
        <f>IFERROR(HistoricalFS!C47,0)</f>
        <v>0.8908959876646666</v>
      </c>
      <c r="D22" s="45">
        <f>IFERROR(HistoricalFS!D47,0)</f>
        <v>0.90151884700665186</v>
      </c>
      <c r="E22" s="45">
        <f>IFERROR(HistoricalFS!E47,0)</f>
        <v>0.9033084820644125</v>
      </c>
      <c r="F22" s="45">
        <f>IFERROR(HistoricalFS!F47,0)</f>
        <v>0.89668129388164497</v>
      </c>
      <c r="G22" s="45">
        <f>IFERROR(HistoricalFS!G47,0)</f>
        <v>0.91604793539142892</v>
      </c>
      <c r="H22" s="45">
        <f>IFERROR(HistoricalFS!H47,0)</f>
        <v>0.92022993588326329</v>
      </c>
      <c r="I22" s="45">
        <f>IFERROR(HistoricalFS!I47,0)</f>
        <v>0.91780855199222544</v>
      </c>
      <c r="J22" s="45">
        <f>IFERROR(HistoricalFS!J47,0)</f>
        <v>0.91395470095252629</v>
      </c>
      <c r="K22" s="45">
        <f>IFERROR(HistoricalFS!K47,0)</f>
        <v>0.90787379157537718</v>
      </c>
      <c r="L22" s="45">
        <f>IFERROR(HistoricalFS!L47,0)</f>
        <v>0.91508001255098836</v>
      </c>
      <c r="N22" s="45">
        <f t="shared" si="2"/>
        <v>0.9083399538963185</v>
      </c>
      <c r="O22" s="45">
        <f t="shared" si="3"/>
        <v>0.91091424626395168</v>
      </c>
    </row>
    <row r="23" spans="2:15" x14ac:dyDescent="0.25">
      <c r="B23" t="s">
        <v>129</v>
      </c>
      <c r="C23" s="45">
        <f>IFERROR(HistoricalFS!C36/SUM(HistoricalFS!C51:C52),0)</f>
        <v>0.1131284863239404</v>
      </c>
      <c r="D23" s="45">
        <f>IFERROR(HistoricalFS!D36/SUM(HistoricalFS!D51:D52),0)</f>
        <v>0.12292764032081116</v>
      </c>
      <c r="E23" s="45">
        <f>IFERROR(HistoricalFS!E36/SUM(HistoricalFS!E51:E52),0)</f>
        <v>0.10290820227737708</v>
      </c>
      <c r="F23" s="45">
        <f>IFERROR(HistoricalFS!F36/SUM(HistoricalFS!F51:F52),0)</f>
        <v>8.8786773709497155E-2</v>
      </c>
      <c r="G23" s="45">
        <f>IFERROR(HistoricalFS!G36/SUM(HistoricalFS!G51:G52),0)</f>
        <v>7.6751141148175023E-2</v>
      </c>
      <c r="H23" s="45">
        <f>IFERROR(HistoricalFS!H36/SUM(HistoricalFS!H51:H52),0)</f>
        <v>8.7038236784543643E-2</v>
      </c>
      <c r="I23" s="45">
        <f>IFERROR(HistoricalFS!I36/SUM(HistoricalFS!I51:I52),0)</f>
        <v>0.10349336194179966</v>
      </c>
      <c r="J23" s="45">
        <f>IFERROR(HistoricalFS!J36/SUM(HistoricalFS!J51:J52),0)</f>
        <v>9.9098781193248484E-2</v>
      </c>
      <c r="K23" s="45">
        <f>IFERROR(HistoricalFS!K36/SUM(HistoricalFS!K51:K52),0)</f>
        <v>9.5810009487666034E-2</v>
      </c>
      <c r="L23" s="45">
        <f>IFERROR(HistoricalFS!L36/SUM(HistoricalFS!L51:L52),0)</f>
        <v>0.10575976460958154</v>
      </c>
      <c r="N23" s="45">
        <f t="shared" si="2"/>
        <v>9.9570239779664033E-2</v>
      </c>
      <c r="O23" s="45">
        <f t="shared" si="3"/>
        <v>0.10100349173531278</v>
      </c>
    </row>
    <row r="24" spans="2:15" x14ac:dyDescent="0.25">
      <c r="B24" t="s">
        <v>130</v>
      </c>
      <c r="C24" s="45">
        <f>IFERROR(C23*C22,0)</f>
        <v>0.10078571455657562</v>
      </c>
      <c r="D24" s="45">
        <f t="shared" ref="D24:L24" si="4">IFERROR(D23*D22,0)</f>
        <v>0.11082158456726608</v>
      </c>
      <c r="E24" s="45">
        <f t="shared" si="4"/>
        <v>9.2957851991155013E-2</v>
      </c>
      <c r="F24" s="45">
        <f t="shared" si="4"/>
        <v>7.9613439129408728E-2</v>
      </c>
      <c r="G24" s="45">
        <f t="shared" si="4"/>
        <v>7.030772438772187E-2</v>
      </c>
      <c r="H24" s="45">
        <f t="shared" si="4"/>
        <v>8.0095191055632883E-2</v>
      </c>
      <c r="I24" s="45">
        <f t="shared" si="4"/>
        <v>9.4987092664610431E-2</v>
      </c>
      <c r="J24" s="45">
        <f t="shared" si="4"/>
        <v>9.057179693023526E-2</v>
      </c>
      <c r="K24" s="45">
        <f t="shared" si="4"/>
        <v>8.6983396584440223E-2</v>
      </c>
      <c r="L24" s="45">
        <f t="shared" si="4"/>
        <v>9.6778646726325454E-2</v>
      </c>
      <c r="N24" s="45">
        <f t="shared" si="2"/>
        <v>9.0390243859337166E-2</v>
      </c>
      <c r="O24" s="45">
        <f t="shared" si="3"/>
        <v>9.1764824460695144E-2</v>
      </c>
    </row>
    <row r="25" spans="2:15" x14ac:dyDescent="0.25">
      <c r="B25" s="46" t="s">
        <v>131</v>
      </c>
      <c r="C25" s="48">
        <f>IFERROR(HistoricalFS!C25/HistoricalFS!C22,0)</f>
        <v>11.401143154065991</v>
      </c>
      <c r="D25" s="48">
        <f>IFERROR(HistoricalFS!D25/HistoricalFS!D22,0)</f>
        <v>7.1383507203179333</v>
      </c>
      <c r="E25" s="48">
        <f>IFERROR(HistoricalFS!E25/HistoricalFS!E22,0)</f>
        <v>4.3481054865110638</v>
      </c>
      <c r="F25" s="48">
        <f>IFERROR(HistoricalFS!F25/HistoricalFS!F22,0)</f>
        <v>3.4336496118400146</v>
      </c>
      <c r="G25" s="48">
        <f>IFERROR(HistoricalFS!G25/HistoricalFS!G22,0)</f>
        <v>3.6174430128840438</v>
      </c>
      <c r="H25" s="48">
        <f>IFERROR(HistoricalFS!H25/HistoricalFS!H22,0)</f>
        <v>6.747051563357104</v>
      </c>
      <c r="I25" s="48">
        <f>IFERROR(HistoricalFS!I25/HistoricalFS!I22,0)</f>
        <v>5.8267334321189512</v>
      </c>
      <c r="J25" s="48">
        <f>IFERROR(HistoricalFS!J25/HistoricalFS!J22,0)</f>
        <v>5.5133662081494936</v>
      </c>
      <c r="K25" s="48">
        <f>IFERROR(HistoricalFS!K25/HistoricalFS!K22,0)</f>
        <v>5.3684123779306931</v>
      </c>
      <c r="L25" s="48">
        <f>IFERROR(HistoricalFS!L25/HistoricalFS!L22,0)</f>
        <v>5.5512730497764311</v>
      </c>
      <c r="M25" s="46"/>
      <c r="N25" s="47">
        <f t="shared" si="2"/>
        <v>5.8945528616951721</v>
      </c>
      <c r="O25" s="47">
        <f t="shared" si="3"/>
        <v>5.5323196289629628</v>
      </c>
    </row>
    <row r="26" spans="2:15" x14ac:dyDescent="0.25">
      <c r="C26" s="42"/>
      <c r="D26" s="42"/>
      <c r="E26" s="42"/>
      <c r="F26" s="42"/>
      <c r="G26" s="42"/>
      <c r="H26" s="42"/>
      <c r="I26" s="42"/>
      <c r="J26" s="42"/>
      <c r="K26" s="42"/>
      <c r="L26" s="42"/>
      <c r="N26" s="9"/>
      <c r="O26" s="9"/>
    </row>
    <row r="27" spans="2:15" x14ac:dyDescent="0.25">
      <c r="B27" s="43" t="s">
        <v>132</v>
      </c>
      <c r="C27" s="49">
        <f>HistoricalFS!C6/HistoricalFS!C63</f>
        <v>37.171823407117522</v>
      </c>
      <c r="D27" s="49">
        <f>HistoricalFS!D6/HistoricalFS!D63</f>
        <v>22.262774138422103</v>
      </c>
      <c r="E27" s="49">
        <f>HistoricalFS!E6/HistoricalFS!E63</f>
        <v>18.88853069227957</v>
      </c>
      <c r="F27" s="49">
        <f>HistoricalFS!F6/HistoricalFS!F63</f>
        <v>30.356074481074479</v>
      </c>
      <c r="G27" s="49">
        <f>HistoricalFS!G6/HistoricalFS!G63</f>
        <v>24.524403071421059</v>
      </c>
      <c r="H27" s="49">
        <f>HistoricalFS!H6/HistoricalFS!H63</f>
        <v>29.385490693739424</v>
      </c>
      <c r="I27" s="49">
        <f>HistoricalFS!I6/HistoricalFS!I63</f>
        <v>30.806946006749158</v>
      </c>
      <c r="J27" s="49">
        <f>HistoricalFS!J6/HistoricalFS!J63</f>
        <v>28.425477425066397</v>
      </c>
      <c r="K27" s="49">
        <f>HistoricalFS!K6/HistoricalFS!K63</f>
        <v>22.858431661166637</v>
      </c>
      <c r="L27" s="49">
        <f>HistoricalFS!L6/HistoricalFS!L63</f>
        <v>18.074900412029201</v>
      </c>
      <c r="M27" s="43"/>
      <c r="N27" s="49">
        <f t="shared" si="2"/>
        <v>26.275485198906559</v>
      </c>
      <c r="O27" s="49">
        <f t="shared" si="3"/>
        <v>26.474940248243726</v>
      </c>
    </row>
    <row r="28" spans="2:15" x14ac:dyDescent="0.25">
      <c r="B28" t="s">
        <v>133</v>
      </c>
      <c r="C28" s="50">
        <f>HistoricalFS!C6/HistoricalFS!C54</f>
        <v>1.3472063399196872</v>
      </c>
      <c r="D28" s="50">
        <f>HistoricalFS!D6/HistoricalFS!D54</f>
        <v>1.4062225644420776</v>
      </c>
      <c r="E28" s="50">
        <f>HistoricalFS!E6/HistoricalFS!E54</f>
        <v>1.8769137792103143</v>
      </c>
      <c r="F28" s="50">
        <f>HistoricalFS!F6/HistoricalFS!F54</f>
        <v>1.6633743685812732</v>
      </c>
      <c r="G28" s="50">
        <f>HistoricalFS!G6/HistoricalFS!G54</f>
        <v>1.3677459661925726</v>
      </c>
      <c r="H28" s="50">
        <f>HistoricalFS!H6/HistoricalFS!H54</f>
        <v>1.7367736806182326</v>
      </c>
      <c r="I28" s="50">
        <f>HistoricalFS!I6/HistoricalFS!I54</f>
        <v>1.9993247343422775</v>
      </c>
      <c r="J28" s="50">
        <f>HistoricalFS!J6/HistoricalFS!J54</f>
        <v>1.4717916732149405</v>
      </c>
      <c r="K28" s="50">
        <f>HistoricalFS!K6/HistoricalFS!K54</f>
        <v>1.3149685878175361</v>
      </c>
      <c r="L28" s="50">
        <f>HistoricalFS!L6/HistoricalFS!L54</f>
        <v>1.2067194758649029</v>
      </c>
      <c r="N28" s="50">
        <f t="shared" si="2"/>
        <v>1.5391041170203814</v>
      </c>
      <c r="O28" s="50">
        <f t="shared" si="3"/>
        <v>1.439007118828509</v>
      </c>
    </row>
    <row r="29" spans="2:15" x14ac:dyDescent="0.25">
      <c r="B29" t="s">
        <v>134</v>
      </c>
      <c r="C29" s="50">
        <f>HistoricalFS!C10/HistoricalFS!C64</f>
        <v>4.9406140834712264</v>
      </c>
      <c r="D29" s="50">
        <f>HistoricalFS!D10/HistoricalFS!D64</f>
        <v>4.9517398951296085</v>
      </c>
      <c r="E29" s="50">
        <f>HistoricalFS!E10/HistoricalFS!E64</f>
        <v>6.4564171637483163</v>
      </c>
      <c r="F29" s="50">
        <f>HistoricalFS!F10/HistoricalFS!F64</f>
        <v>6.0328674072771067</v>
      </c>
      <c r="G29" s="50">
        <f>HistoricalFS!G10/HistoricalFS!G64</f>
        <v>4.0211945342344988</v>
      </c>
      <c r="H29" s="50">
        <f>HistoricalFS!H10/HistoricalFS!H64</f>
        <v>4.8416745532483434</v>
      </c>
      <c r="I29" s="50">
        <f>HistoricalFS!I10/HistoricalFS!I64</f>
        <v>4.700267127592709</v>
      </c>
      <c r="J29" s="50">
        <f>HistoricalFS!J10/HistoricalFS!J64</f>
        <v>4.2641552660862736</v>
      </c>
      <c r="K29" s="50">
        <f>HistoricalFS!K10/HistoricalFS!K64</f>
        <v>4.7954224918185426</v>
      </c>
      <c r="L29" s="50">
        <f>HistoricalFS!L10/HistoricalFS!L64</f>
        <v>4.3067970121180537</v>
      </c>
      <c r="N29" s="50">
        <f t="shared" si="2"/>
        <v>4.9311149534724681</v>
      </c>
      <c r="O29" s="50">
        <f t="shared" si="3"/>
        <v>4.818548522533443</v>
      </c>
    </row>
    <row r="30" spans="2:15" x14ac:dyDescent="0.25">
      <c r="B30" t="s">
        <v>135</v>
      </c>
      <c r="C30" s="50">
        <f>HistoricalFS!C6/HistoricalFS!C57</f>
        <v>1.5310538669997884</v>
      </c>
      <c r="D30" s="50">
        <f>HistoricalFS!D6/HistoricalFS!D57</f>
        <v>0.96765911088552437</v>
      </c>
      <c r="E30" s="50">
        <f>HistoricalFS!E6/HistoricalFS!E57</f>
        <v>1.4266417989125797</v>
      </c>
      <c r="F30" s="50">
        <f>HistoricalFS!F6/HistoricalFS!F57</f>
        <v>1.1201915675724385</v>
      </c>
      <c r="G30" s="50">
        <f>HistoricalFS!G6/HistoricalFS!G57</f>
        <v>0.86152444859937405</v>
      </c>
      <c r="H30" s="50">
        <f>HistoricalFS!H6/HistoricalFS!H57</f>
        <v>1.1065231173084336</v>
      </c>
      <c r="I30" s="50">
        <f>HistoricalFS!I6/HistoricalFS!I57</f>
        <v>1.2091472878912259</v>
      </c>
      <c r="J30" s="50">
        <f>HistoricalFS!J6/HistoricalFS!J57</f>
        <v>1.1526388327980666</v>
      </c>
      <c r="K30" s="50">
        <f>HistoricalFS!K6/HistoricalFS!K57</f>
        <v>0.9634047867055302</v>
      </c>
      <c r="L30" s="50">
        <f>HistoricalFS!L6/HistoricalFS!L57</f>
        <v>0.9034561790609078</v>
      </c>
      <c r="N30" s="50">
        <f t="shared" si="2"/>
        <v>1.124224099673387</v>
      </c>
      <c r="O30" s="50">
        <f t="shared" si="3"/>
        <v>1.1133573424404362</v>
      </c>
    </row>
    <row r="31" spans="2:15" x14ac:dyDescent="0.25">
      <c r="B31" s="46" t="s">
        <v>136</v>
      </c>
      <c r="C31" s="48">
        <f>HistoricalFS!C6/SUM(HistoricalFS!C51,HistoricalFS!C52)</f>
        <v>1.1526114012035995</v>
      </c>
      <c r="D31" s="48">
        <f>HistoricalFS!D6/SUM(HistoricalFS!D51,HistoricalFS!D52)</f>
        <v>1.3315673274140905</v>
      </c>
      <c r="E31" s="48">
        <f>HistoricalFS!E6/SUM(HistoricalFS!E51,HistoricalFS!E52)</f>
        <v>1.4681461695839964</v>
      </c>
      <c r="F31" s="48">
        <f>HistoricalFS!F6/SUM(HistoricalFS!F51,HistoricalFS!F52)</f>
        <v>1.3284153297444596</v>
      </c>
      <c r="G31" s="48">
        <f>HistoricalFS!G6/SUM(HistoricalFS!G51,HistoricalFS!G52)</f>
        <v>0.66598921407882639</v>
      </c>
      <c r="H31" s="48">
        <f>HistoricalFS!H6/SUM(HistoricalFS!H51,HistoricalFS!H52)</f>
        <v>0.89119482735395805</v>
      </c>
      <c r="I31" s="48">
        <f>HistoricalFS!I6/SUM(HistoricalFS!I51,HistoricalFS!I52)</f>
        <v>1.224235617540566</v>
      </c>
      <c r="J31" s="48">
        <f>HistoricalFS!J6/SUM(HistoricalFS!J51,HistoricalFS!J52)</f>
        <v>1.133034061307076</v>
      </c>
      <c r="K31" s="48">
        <f>HistoricalFS!K6/SUM(HistoricalFS!K51,HistoricalFS!K52)</f>
        <v>1.1418643263757116</v>
      </c>
      <c r="L31" s="48">
        <f>HistoricalFS!L6/SUM(HistoricalFS!L51,HistoricalFS!L52)</f>
        <v>1.1694512350253863</v>
      </c>
      <c r="M31" s="46"/>
      <c r="N31" s="48">
        <f t="shared" si="2"/>
        <v>1.1506509509627671</v>
      </c>
      <c r="O31" s="48">
        <f t="shared" si="3"/>
        <v>1.1610313181144929</v>
      </c>
    </row>
    <row r="32" spans="2:15" x14ac:dyDescent="0.25">
      <c r="N32" s="9"/>
    </row>
    <row r="33" spans="2:15" x14ac:dyDescent="0.25">
      <c r="N33" s="9"/>
    </row>
    <row r="34" spans="2:15" x14ac:dyDescent="0.25">
      <c r="B34" s="43" t="s">
        <v>137</v>
      </c>
      <c r="C34" s="51">
        <f>IFERROR(365/C27,0)</f>
        <v>9.8192654151615049</v>
      </c>
      <c r="D34" s="51">
        <f t="shared" ref="D34:L34" si="5">IFERROR(365/D27,0)</f>
        <v>16.395081661007669</v>
      </c>
      <c r="E34" s="51">
        <f t="shared" si="5"/>
        <v>19.323895857563382</v>
      </c>
      <c r="F34" s="51">
        <f t="shared" si="5"/>
        <v>12.023952577516555</v>
      </c>
      <c r="G34" s="51">
        <f t="shared" si="5"/>
        <v>14.883134930421374</v>
      </c>
      <c r="H34" s="51">
        <f t="shared" si="5"/>
        <v>12.421095968894718</v>
      </c>
      <c r="I34" s="51">
        <f t="shared" si="5"/>
        <v>11.847977398345041</v>
      </c>
      <c r="J34" s="51">
        <f t="shared" si="5"/>
        <v>12.840593476826974</v>
      </c>
      <c r="K34" s="51">
        <f t="shared" si="5"/>
        <v>15.967849649986499</v>
      </c>
      <c r="L34" s="51">
        <f t="shared" si="5"/>
        <v>20.193748882681827</v>
      </c>
      <c r="M34" s="43"/>
      <c r="N34" s="51">
        <f t="shared" si="2"/>
        <v>14.571659581840555</v>
      </c>
      <c r="O34" s="51">
        <f t="shared" si="3"/>
        <v>13.861864203624174</v>
      </c>
    </row>
    <row r="35" spans="2:15" x14ac:dyDescent="0.25">
      <c r="B35" t="s">
        <v>138</v>
      </c>
      <c r="C35" s="52">
        <f>IFERROR(365/C28,0)</f>
        <v>270.93102903728857</v>
      </c>
      <c r="D35" s="52">
        <f t="shared" ref="D35:L35" si="6">IFERROR(365/D28,0)</f>
        <v>259.56061951318117</v>
      </c>
      <c r="E35" s="52">
        <f t="shared" si="6"/>
        <v>194.46817645164751</v>
      </c>
      <c r="F35" s="52">
        <f t="shared" si="6"/>
        <v>219.43346422448252</v>
      </c>
      <c r="G35" s="52">
        <f t="shared" si="6"/>
        <v>266.86242110884035</v>
      </c>
      <c r="H35" s="52">
        <f t="shared" si="6"/>
        <v>210.15979460839847</v>
      </c>
      <c r="I35" s="52">
        <f t="shared" si="6"/>
        <v>182.56163880255045</v>
      </c>
      <c r="J35" s="52">
        <f t="shared" si="6"/>
        <v>247.99705463933236</v>
      </c>
      <c r="K35" s="52">
        <f t="shared" si="6"/>
        <v>277.57317047838643</v>
      </c>
      <c r="L35" s="52">
        <f t="shared" si="6"/>
        <v>302.47295025912319</v>
      </c>
      <c r="N35" s="52">
        <f t="shared" si="2"/>
        <v>243.20203191232312</v>
      </c>
      <c r="O35" s="52">
        <f t="shared" si="3"/>
        <v>253.77883707625676</v>
      </c>
    </row>
    <row r="36" spans="2:15" x14ac:dyDescent="0.25">
      <c r="B36" t="s">
        <v>139</v>
      </c>
      <c r="C36" s="52">
        <f>IFERROR(365/C29,0)</f>
        <v>73.877456088121463</v>
      </c>
      <c r="D36" s="52">
        <f t="shared" ref="D36:L36" si="7">IFERROR(365/D29,0)</f>
        <v>73.711464602372132</v>
      </c>
      <c r="E36" s="52">
        <f t="shared" si="7"/>
        <v>56.53290218751863</v>
      </c>
      <c r="F36" s="52">
        <f t="shared" si="7"/>
        <v>60.501909847997183</v>
      </c>
      <c r="G36" s="52">
        <f t="shared" si="7"/>
        <v>90.769048075781242</v>
      </c>
      <c r="H36" s="52">
        <f t="shared" si="7"/>
        <v>75.38714054109991</v>
      </c>
      <c r="I36" s="52">
        <f t="shared" si="7"/>
        <v>77.655160885917255</v>
      </c>
      <c r="J36" s="52">
        <f t="shared" si="7"/>
        <v>85.597258360388992</v>
      </c>
      <c r="K36" s="52">
        <f t="shared" si="7"/>
        <v>76.114252836475927</v>
      </c>
      <c r="L36" s="52">
        <f t="shared" si="7"/>
        <v>84.749756947680126</v>
      </c>
      <c r="N36" s="52">
        <f t="shared" si="2"/>
        <v>75.489635037335276</v>
      </c>
      <c r="O36" s="52">
        <f t="shared" si="3"/>
        <v>75.750696688787912</v>
      </c>
    </row>
    <row r="37" spans="2:15" x14ac:dyDescent="0.25">
      <c r="B37" s="46" t="s">
        <v>140</v>
      </c>
      <c r="C37" s="53">
        <f>SUM(C34,C36)-C35</f>
        <v>-187.23430753400561</v>
      </c>
      <c r="D37" s="53">
        <f t="shared" ref="D37:L37" si="8">SUM(D34,D36)-D35</f>
        <v>-169.45407324980135</v>
      </c>
      <c r="E37" s="53">
        <f t="shared" si="8"/>
        <v>-118.61137840656549</v>
      </c>
      <c r="F37" s="53">
        <f t="shared" si="8"/>
        <v>-146.90760179896878</v>
      </c>
      <c r="G37" s="53">
        <f t="shared" si="8"/>
        <v>-161.21023810263773</v>
      </c>
      <c r="H37" s="53">
        <f t="shared" si="8"/>
        <v>-122.35155809840384</v>
      </c>
      <c r="I37" s="53">
        <f t="shared" si="8"/>
        <v>-93.058500518288156</v>
      </c>
      <c r="J37" s="53">
        <f t="shared" si="8"/>
        <v>-149.5592028021164</v>
      </c>
      <c r="K37" s="53">
        <f t="shared" si="8"/>
        <v>-185.49106799192401</v>
      </c>
      <c r="L37" s="53">
        <f t="shared" si="8"/>
        <v>-197.52944442876122</v>
      </c>
      <c r="M37" s="46"/>
      <c r="N37" s="53">
        <f t="shared" si="2"/>
        <v>-153.14073729314728</v>
      </c>
      <c r="O37" s="53">
        <f t="shared" si="3"/>
        <v>-155.38472045237705</v>
      </c>
    </row>
    <row r="38" spans="2:15" x14ac:dyDescent="0.25">
      <c r="N38" s="9"/>
    </row>
    <row r="39" spans="2:15" x14ac:dyDescent="0.25">
      <c r="B39" s="43" t="s">
        <v>141</v>
      </c>
      <c r="C39" s="49">
        <f>IFERROR(HistoricalFS!C81/HistoricalFS!C6,0)</f>
        <v>0.1512169604611224</v>
      </c>
      <c r="D39" s="49">
        <f>IFERROR(HistoricalFS!D81/HistoricalFS!D6,0)</f>
        <v>0.16634896103862873</v>
      </c>
      <c r="E39" s="49">
        <f>IFERROR(HistoricalFS!E81/HistoricalFS!E6,0)</f>
        <v>0.15835147104622785</v>
      </c>
      <c r="F39" s="49">
        <f>IFERROR(HistoricalFS!F81/HistoricalFS!F6,0)</f>
        <v>2.2732491004375886E-2</v>
      </c>
      <c r="G39" s="49">
        <f>IFERROR(HistoricalFS!G81/HistoricalFS!G6,0)</f>
        <v>0.24188571048686811</v>
      </c>
      <c r="H39" s="49">
        <f>IFERROR(HistoricalFS!H81/HistoricalFS!H6,0)</f>
        <v>-3.3109103131977201E-2</v>
      </c>
      <c r="I39" s="49">
        <f>IFERROR(HistoricalFS!I81/HistoricalFS!I6,0)</f>
        <v>0.12708752664320694</v>
      </c>
      <c r="J39" s="49">
        <f>IFERROR(HistoricalFS!J81/HistoricalFS!J6,0)</f>
        <v>0.1061108447779356</v>
      </c>
      <c r="K39" s="49">
        <f>IFERROR(HistoricalFS!K81/HistoricalFS!K6,0)</f>
        <v>0.17153154275980972</v>
      </c>
      <c r="L39" s="49">
        <f>IFERROR(HistoricalFS!L81/HistoricalFS!L6,0)</f>
        <v>0.1914712088980618</v>
      </c>
      <c r="M39" s="43"/>
      <c r="N39" s="49">
        <f t="shared" si="2"/>
        <v>0.13036276139842601</v>
      </c>
      <c r="O39" s="49">
        <f t="shared" si="3"/>
        <v>0.15478421575367513</v>
      </c>
    </row>
    <row r="40" spans="2:15" x14ac:dyDescent="0.25">
      <c r="B40" t="s">
        <v>142</v>
      </c>
      <c r="C40" s="50">
        <f>IFERROR(HistoricalFS!C81/HistoricalFS!C68,0)</f>
        <v>6.5029527364099143E-2</v>
      </c>
      <c r="D40" s="50">
        <f>IFERROR(HistoricalFS!D81/HistoricalFS!D68,0)</f>
        <v>8.013701922780618E-2</v>
      </c>
      <c r="E40" s="50">
        <f>IFERROR(HistoricalFS!E81/HistoricalFS!E68,0)</f>
        <v>9.0210799595040247E-2</v>
      </c>
      <c r="F40" s="50">
        <f>IFERROR(HistoricalFS!F81/HistoricalFS!F68,0)</f>
        <v>1.1662790247761207E-2</v>
      </c>
      <c r="G40" s="50">
        <f>IFERROR(HistoricalFS!G81/HistoricalFS!G68,0)</f>
        <v>8.5445034903584294E-2</v>
      </c>
      <c r="H40" s="50">
        <f>IFERROR(HistoricalFS!H81/HistoricalFS!H68,0)</f>
        <v>-1.5347432507997347E-2</v>
      </c>
      <c r="I40" s="50">
        <f>IFERROR(HistoricalFS!I81/HistoricalFS!I68,0)</f>
        <v>6.9356901690161538E-2</v>
      </c>
      <c r="J40" s="50">
        <f>IFERROR(HistoricalFS!J81/HistoricalFS!J68,0)</f>
        <v>5.4356348088485329E-2</v>
      </c>
      <c r="K40" s="50">
        <f>IFERROR(HistoricalFS!K81/HistoricalFS!K68,0)</f>
        <v>8.4706826081582268E-2</v>
      </c>
      <c r="L40" s="50">
        <f>IFERROR(HistoricalFS!L81/HistoricalFS!L68,0)</f>
        <v>9.2935715794209742E-2</v>
      </c>
      <c r="N40" s="50">
        <f t="shared" si="2"/>
        <v>6.1849353048473263E-2</v>
      </c>
      <c r="O40" s="50">
        <f t="shared" si="3"/>
        <v>7.4746960458983852E-2</v>
      </c>
    </row>
    <row r="41" spans="2:15" x14ac:dyDescent="0.25">
      <c r="B41" s="46" t="s">
        <v>143</v>
      </c>
      <c r="C41" s="48">
        <f>IFERROR(HistoricalFS!C81/HistoricalFS!C53,0)</f>
        <v>0.21134843085412117</v>
      </c>
      <c r="D41" s="48">
        <f>IFERROR(HistoricalFS!D81/HistoricalFS!D53,0)</f>
        <v>0.27106482157077755</v>
      </c>
      <c r="E41" s="48">
        <f>IFERROR(HistoricalFS!E81/HistoricalFS!E53,0)</f>
        <v>0.29246963089102218</v>
      </c>
      <c r="F41" s="48">
        <f>IFERROR(HistoricalFS!F81/HistoricalFS!F53,0)</f>
        <v>3.8194141349860475E-2</v>
      </c>
      <c r="G41" s="48">
        <f>IFERROR(HistoricalFS!G81/HistoricalFS!G53,0)</f>
        <v>0.40433105584273127</v>
      </c>
      <c r="H41" s="48">
        <f>IFERROR(HistoricalFS!H81/HistoricalFS!H53,0)</f>
        <v>-7.2064620031457777E-2</v>
      </c>
      <c r="I41" s="48">
        <f>IFERROR(HistoricalFS!I81/HistoricalFS!I53,0)</f>
        <v>0.2465970278791314</v>
      </c>
      <c r="J41" s="48">
        <f>IFERROR(HistoricalFS!J81/HistoricalFS!J53,0)</f>
        <v>0.27200693432634104</v>
      </c>
      <c r="K41" s="48">
        <f>IFERROR(HistoricalFS!K81/HistoricalFS!K53,0)</f>
        <v>0.4412189798377294</v>
      </c>
      <c r="L41" s="48">
        <f>IFERROR(HistoricalFS!L81/HistoricalFS!L53,0)</f>
        <v>0.50861055276381906</v>
      </c>
      <c r="M41" s="46"/>
      <c r="N41" s="48">
        <f t="shared" si="2"/>
        <v>0.26137769552840756</v>
      </c>
      <c r="O41" s="48">
        <f t="shared" si="3"/>
        <v>0.27153587794855927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xr2:uid="{4144D63D-AC58-4F82-B275-E4B9392C87C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high="1" xr2:uid="{05257584-5622-4E6D-AB84-7665725D2B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250E5-919C-4B5C-ADFB-1C7BE768C5A3}">
  <sheetPr codeName="Sheet2"/>
  <dimension ref="A2:U105"/>
  <sheetViews>
    <sheetView showGridLines="0" tabSelected="1" zoomScale="90" zoomScaleNormal="90" workbookViewId="0">
      <selection activeCell="C19" sqref="C19"/>
    </sheetView>
  </sheetViews>
  <sheetFormatPr defaultRowHeight="15" outlineLevelRow="1" x14ac:dyDescent="0.25"/>
  <cols>
    <col min="1" max="1" width="2.7109375" bestFit="1" customWidth="1"/>
    <col min="2" max="2" width="46.140625" bestFit="1" customWidth="1"/>
    <col min="3" max="3" width="18.85546875" bestFit="1" customWidth="1"/>
    <col min="4" max="5" width="17" bestFit="1" customWidth="1"/>
    <col min="6" max="7" width="18.42578125" bestFit="1" customWidth="1"/>
    <col min="8" max="8" width="18.5703125" bestFit="1" customWidth="1"/>
    <col min="9" max="11" width="18.42578125" bestFit="1" customWidth="1"/>
    <col min="12" max="12" width="18.5703125" bestFit="1" customWidth="1"/>
    <col min="13" max="13" width="18" bestFit="1" customWidth="1"/>
  </cols>
  <sheetData>
    <row r="2" spans="1:21" x14ac:dyDescent="0.25">
      <c r="A2" t="s">
        <v>69</v>
      </c>
      <c r="B2" s="172" t="str">
        <f>"Historical Financial Statements "&amp;'Data Sheet'!B1</f>
        <v>Historical Financial Statements RELIANCE INDUSTRIES LTD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3"/>
      <c r="O2" s="13"/>
      <c r="P2" s="13"/>
      <c r="Q2" s="13"/>
      <c r="R2" s="13"/>
      <c r="S2" s="13"/>
      <c r="T2" s="13"/>
      <c r="U2" s="13"/>
    </row>
    <row r="3" spans="1:21" x14ac:dyDescent="0.25">
      <c r="B3" s="20" t="s">
        <v>56</v>
      </c>
      <c r="C3" s="21">
        <f>'Data Sheet'!B16</f>
        <v>42825</v>
      </c>
      <c r="D3" s="21">
        <f>'Data Sheet'!C16</f>
        <v>43190</v>
      </c>
      <c r="E3" s="21">
        <f>'Data Sheet'!D16</f>
        <v>43555</v>
      </c>
      <c r="F3" s="21">
        <f>'Data Sheet'!E16</f>
        <v>43921</v>
      </c>
      <c r="G3" s="21">
        <f>'Data Sheet'!F16</f>
        <v>44286</v>
      </c>
      <c r="H3" s="21">
        <f>'Data Sheet'!G16</f>
        <v>44651</v>
      </c>
      <c r="I3" s="21">
        <f>'Data Sheet'!H16</f>
        <v>45016</v>
      </c>
      <c r="J3" s="21">
        <f>'Data Sheet'!I16</f>
        <v>45382</v>
      </c>
      <c r="K3" s="21">
        <f>'Data Sheet'!J16</f>
        <v>45747</v>
      </c>
      <c r="L3" s="21">
        <f>'Data Sheet'!K16</f>
        <v>46112</v>
      </c>
      <c r="M3" s="22" t="s">
        <v>58</v>
      </c>
    </row>
    <row r="4" spans="1:21" s="26" customFormat="1" x14ac:dyDescent="0.25">
      <c r="B4" s="54"/>
      <c r="C4" s="55"/>
      <c r="D4" s="55"/>
      <c r="E4" s="55"/>
      <c r="F4" s="55"/>
      <c r="G4" s="55"/>
      <c r="H4" s="55"/>
      <c r="I4" s="55"/>
      <c r="J4" s="55"/>
      <c r="K4" s="55"/>
      <c r="L4" s="55"/>
      <c r="M4" s="56"/>
    </row>
    <row r="5" spans="1:21" x14ac:dyDescent="0.25">
      <c r="B5" s="23" t="s">
        <v>57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spans="1:21" outlineLevel="1" x14ac:dyDescent="0.25">
      <c r="B6" s="2" t="s">
        <v>1</v>
      </c>
      <c r="C6" s="24">
        <f>IFERROR('Data Sheet'!B17,0)</f>
        <v>303954</v>
      </c>
      <c r="D6" s="24">
        <f>IFERROR('Data Sheet'!C17,0)</f>
        <v>390823</v>
      </c>
      <c r="E6" s="24">
        <f>IFERROR('Data Sheet'!D17,0)</f>
        <v>568337</v>
      </c>
      <c r="F6" s="24">
        <f>IFERROR('Data Sheet'!E17,0)</f>
        <v>596679</v>
      </c>
      <c r="G6" s="24">
        <f>IFERROR('Data Sheet'!F17,0)</f>
        <v>466307</v>
      </c>
      <c r="H6" s="24">
        <f>IFERROR('Data Sheet'!G17,0)</f>
        <v>694673</v>
      </c>
      <c r="I6" s="24">
        <f>IFERROR('Data Sheet'!H17,0)</f>
        <v>876396</v>
      </c>
      <c r="J6" s="24">
        <f>IFERROR('Data Sheet'!I17,0)</f>
        <v>899041</v>
      </c>
      <c r="K6" s="24">
        <f>IFERROR('Data Sheet'!J17,0)</f>
        <v>962820</v>
      </c>
      <c r="L6" s="24">
        <f>IFERROR('Data Sheet'!K17,0)</f>
        <v>1057219</v>
      </c>
      <c r="M6" s="24" cm="1">
        <f t="array" ref="M6">IFERROR(SUM('Data Sheet'!H42:K42),O0)</f>
        <v>1057219</v>
      </c>
    </row>
    <row r="7" spans="1:21" outlineLevel="1" x14ac:dyDescent="0.25">
      <c r="B7" s="2" t="s">
        <v>4</v>
      </c>
      <c r="C7" s="24">
        <f>IFERROR('Data Sheet'!B25,0)</f>
        <v>9222</v>
      </c>
      <c r="D7" s="24">
        <f>IFERROR('Data Sheet'!C25,0)</f>
        <v>9869</v>
      </c>
      <c r="E7" s="24">
        <f>IFERROR('Data Sheet'!D25,0)</f>
        <v>8406</v>
      </c>
      <c r="F7" s="24">
        <f>IFERROR('Data Sheet'!E25,0)</f>
        <v>8570</v>
      </c>
      <c r="G7" s="24">
        <f>IFERROR('Data Sheet'!F25,0)</f>
        <v>22432</v>
      </c>
      <c r="H7" s="24">
        <f>IFERROR('Data Sheet'!G25,0)</f>
        <v>19600</v>
      </c>
      <c r="I7" s="24">
        <f>IFERROR('Data Sheet'!H25,0)</f>
        <v>12020</v>
      </c>
      <c r="J7" s="24">
        <f>IFERROR('Data Sheet'!I25,0)</f>
        <v>15792</v>
      </c>
      <c r="K7" s="24">
        <f>IFERROR('Data Sheet'!J25,0)</f>
        <v>17824</v>
      </c>
      <c r="L7" s="24">
        <f>IFERROR('Data Sheet'!K25,0)</f>
        <v>28962</v>
      </c>
      <c r="M7" s="24"/>
    </row>
    <row r="8" spans="1:21" outlineLevel="1" x14ac:dyDescent="0.25">
      <c r="B8" s="10" t="s">
        <v>10</v>
      </c>
      <c r="C8" s="11" t="s">
        <v>59</v>
      </c>
      <c r="D8" s="12">
        <f>D6/C6-1</f>
        <v>0.28579653500200686</v>
      </c>
      <c r="E8" s="12">
        <f t="shared" ref="E8:L8" si="0">E6/D6-1</f>
        <v>0.45420561225925793</v>
      </c>
      <c r="F8" s="12">
        <f t="shared" si="0"/>
        <v>4.9868299969912266E-2</v>
      </c>
      <c r="G8" s="12">
        <f t="shared" si="0"/>
        <v>-0.21849604226057895</v>
      </c>
      <c r="H8" s="12">
        <f t="shared" si="0"/>
        <v>0.48973315862725619</v>
      </c>
      <c r="I8" s="12">
        <f t="shared" si="0"/>
        <v>0.26159502384575184</v>
      </c>
      <c r="J8" s="12">
        <f t="shared" si="0"/>
        <v>2.5838776078393799E-2</v>
      </c>
      <c r="K8" s="12">
        <f t="shared" si="0"/>
        <v>7.0941147289167006E-2</v>
      </c>
      <c r="L8" s="12">
        <f t="shared" si="0"/>
        <v>9.8044286574852979E-2</v>
      </c>
    </row>
    <row r="9" spans="1:21" outlineLevel="1" x14ac:dyDescent="0.25">
      <c r="A9" s="10"/>
    </row>
    <row r="10" spans="1:21" outlineLevel="1" x14ac:dyDescent="0.25">
      <c r="B10" s="2" t="s">
        <v>60</v>
      </c>
      <c r="C10" s="24">
        <f>IFERROR(SUM('Data Sheet'!B18,'Data Sheet'!B20:B22)-1*'Data Sheet'!B19,0)</f>
        <v>241848</v>
      </c>
      <c r="D10" s="24">
        <f>IFERROR(SUM('Data Sheet'!C18,'Data Sheet'!C20:C22)-1*'Data Sheet'!C19,0)</f>
        <v>301249</v>
      </c>
      <c r="E10" s="24">
        <f>IFERROR(SUM('Data Sheet'!D18,'Data Sheet'!D20:D22)-1*'Data Sheet'!D19,0)</f>
        <v>436202</v>
      </c>
      <c r="F10" s="24">
        <f>IFERROR(SUM('Data Sheet'!E18,'Data Sheet'!E20:E22)-1*'Data Sheet'!E19,0)</f>
        <v>445847</v>
      </c>
      <c r="G10" s="24">
        <f>IFERROR(SUM('Data Sheet'!F18,'Data Sheet'!F20:F22)-1*'Data Sheet'!F19,0)</f>
        <v>328419</v>
      </c>
      <c r="H10" s="24">
        <f>IFERROR(SUM('Data Sheet'!G18,'Data Sheet'!G20:G22)-1*'Data Sheet'!G19,0)</f>
        <v>521826</v>
      </c>
      <c r="I10" s="24">
        <f>IFERROR(SUM('Data Sheet'!H18,'Data Sheet'!H20:H22)-1*'Data Sheet'!H19,0)</f>
        <v>658075</v>
      </c>
      <c r="J10" s="24">
        <f>IFERROR(SUM('Data Sheet'!I18,'Data Sheet'!I20:I22)-1*'Data Sheet'!I19,0)</f>
        <v>651435</v>
      </c>
      <c r="K10" s="24">
        <f>IFERROR(SUM('Data Sheet'!J18,'Data Sheet'!J20:J22)-1*'Data Sheet'!J19,0)</f>
        <v>700429</v>
      </c>
      <c r="L10" s="24">
        <f>IFERROR(SUM('Data Sheet'!K18,'Data Sheet'!K20:K22)-1*'Data Sheet'!K19,0)</f>
        <v>718981</v>
      </c>
      <c r="M10" s="24">
        <f>IFERROR(SUM('Data Sheet'!H43:K43),0)</f>
        <v>878270</v>
      </c>
    </row>
    <row r="11" spans="1:21" outlineLevel="1" x14ac:dyDescent="0.25">
      <c r="B11" s="10" t="s">
        <v>61</v>
      </c>
      <c r="C11" s="14">
        <f>C10/C6</f>
        <v>0.79567302947156482</v>
      </c>
      <c r="D11" s="14">
        <f t="shared" ref="D11:L11" si="1">D10/D6</f>
        <v>0.77080673348293216</v>
      </c>
      <c r="E11" s="14">
        <f t="shared" si="1"/>
        <v>0.76750589878892272</v>
      </c>
      <c r="F11" s="14">
        <f t="shared" si="1"/>
        <v>0.7472141637295765</v>
      </c>
      <c r="G11" s="14">
        <f t="shared" si="1"/>
        <v>0.70429781238540279</v>
      </c>
      <c r="H11" s="14">
        <f t="shared" si="1"/>
        <v>0.75118221091074511</v>
      </c>
      <c r="I11" s="14">
        <f t="shared" si="1"/>
        <v>0.75088772655283686</v>
      </c>
      <c r="J11" s="14">
        <f t="shared" si="1"/>
        <v>0.72458875624137276</v>
      </c>
      <c r="K11" s="14">
        <f t="shared" si="1"/>
        <v>0.72747657921522191</v>
      </c>
      <c r="L11" s="14">
        <f t="shared" si="1"/>
        <v>0.68006817887306226</v>
      </c>
    </row>
    <row r="12" spans="1:21" outlineLevel="1" x14ac:dyDescent="0.25"/>
    <row r="13" spans="1:21" outlineLevel="1" x14ac:dyDescent="0.25">
      <c r="B13" s="35" t="s">
        <v>62</v>
      </c>
      <c r="C13" s="36">
        <f>SUM(HistoricalFS!C6,C7)-C10</f>
        <v>71328</v>
      </c>
      <c r="D13" s="36">
        <f>SUM(HistoricalFS!D6,D7)-D10</f>
        <v>99443</v>
      </c>
      <c r="E13" s="36">
        <f>SUM(HistoricalFS!E6,E7)-E10</f>
        <v>140541</v>
      </c>
      <c r="F13" s="36">
        <f>SUM(HistoricalFS!F6,F7)-F10</f>
        <v>159402</v>
      </c>
      <c r="G13" s="36">
        <f>SUM(HistoricalFS!G6,G7)-G10</f>
        <v>160320</v>
      </c>
      <c r="H13" s="36">
        <f>SUM(HistoricalFS!H6,H7)-H10</f>
        <v>192447</v>
      </c>
      <c r="I13" s="36">
        <f>SUM(HistoricalFS!I6,I7)-I10</f>
        <v>230341</v>
      </c>
      <c r="J13" s="36">
        <f>SUM(HistoricalFS!J6,J7)-J10</f>
        <v>263398</v>
      </c>
      <c r="K13" s="36">
        <f>SUM(HistoricalFS!K6,K7)-K10</f>
        <v>280215</v>
      </c>
      <c r="L13" s="36">
        <f>SUM(HistoricalFS!L6,L7)-L10</f>
        <v>367200</v>
      </c>
      <c r="M13" s="36">
        <f>HistoricalFS!M6-HistoricalFS!M10</f>
        <v>178949</v>
      </c>
    </row>
    <row r="14" spans="1:21" outlineLevel="1" x14ac:dyDescent="0.25">
      <c r="B14" s="40" t="s">
        <v>120</v>
      </c>
      <c r="C14" s="41">
        <f>IFERROR(C13/C6,0)</f>
        <v>0.23466708778301981</v>
      </c>
      <c r="D14" s="41">
        <f t="shared" ref="D14:L14" si="2">IFERROR(D13/D6,0)</f>
        <v>0.25444510686423266</v>
      </c>
      <c r="E14" s="41">
        <f t="shared" si="2"/>
        <v>0.24728462162414203</v>
      </c>
      <c r="F14" s="41">
        <f t="shared" si="2"/>
        <v>0.2671486678766975</v>
      </c>
      <c r="G14" s="41">
        <f t="shared" si="2"/>
        <v>0.34380783475264148</v>
      </c>
      <c r="H14" s="41">
        <f t="shared" si="2"/>
        <v>0.27703250306259203</v>
      </c>
      <c r="I14" s="41">
        <f t="shared" si="2"/>
        <v>0.26282753458482239</v>
      </c>
      <c r="J14" s="41">
        <f t="shared" si="2"/>
        <v>0.29297662731733037</v>
      </c>
      <c r="K14" s="41">
        <f t="shared" si="2"/>
        <v>0.29103570760889885</v>
      </c>
      <c r="L14" s="41">
        <f t="shared" si="2"/>
        <v>0.34732633446807143</v>
      </c>
    </row>
    <row r="15" spans="1:21" outlineLevel="1" x14ac:dyDescent="0.25">
      <c r="C15" s="39"/>
      <c r="D15" s="39"/>
      <c r="E15" s="39"/>
      <c r="F15" s="39"/>
      <c r="G15" s="39"/>
      <c r="H15" s="39"/>
      <c r="I15" s="39"/>
      <c r="J15" s="39"/>
      <c r="K15" s="39"/>
      <c r="L15" s="39"/>
    </row>
    <row r="16" spans="1:21" outlineLevel="1" x14ac:dyDescent="0.25">
      <c r="B16" s="2" t="s">
        <v>63</v>
      </c>
      <c r="C16" s="24">
        <f>IFERROR(SUM('Data Sheet'!B23:B24),0)</f>
        <v>15799</v>
      </c>
      <c r="D16" s="24">
        <f>IFERROR(SUM('Data Sheet'!C23:C24),0)</f>
        <v>25259</v>
      </c>
      <c r="E16" s="24">
        <f>IFERROR(SUM('Data Sheet'!D23:D24),0)</f>
        <v>47885</v>
      </c>
      <c r="F16" s="24">
        <f>IFERROR(SUM('Data Sheet'!E23:E24),0)</f>
        <v>61566</v>
      </c>
      <c r="G16" s="24">
        <f>IFERROR(SUM('Data Sheet'!F23:F24),0)</f>
        <v>57098</v>
      </c>
      <c r="H16" s="24">
        <f>IFERROR(SUM('Data Sheet'!G23:G24),0)</f>
        <v>64266</v>
      </c>
      <c r="I16" s="24">
        <f>IFERROR(SUM('Data Sheet'!H23:H24),0)</f>
        <v>76003</v>
      </c>
      <c r="J16" s="24">
        <f>IFERROR(SUM('Data Sheet'!I23:I24),0)</f>
        <v>85108</v>
      </c>
      <c r="K16" s="24">
        <f>IFERROR(SUM('Data Sheet'!J23:J24),0)</f>
        <v>96793</v>
      </c>
      <c r="L16" s="24">
        <f>IFERROR(SUM('Data Sheet'!K23:K24),0)</f>
        <v>159289</v>
      </c>
      <c r="M16" s="24"/>
    </row>
    <row r="17" spans="2:14" outlineLevel="1" x14ac:dyDescent="0.25">
      <c r="B17" s="15" t="s">
        <v>64</v>
      </c>
      <c r="C17" s="16">
        <f t="shared" ref="C17:L17" si="3">C16/C6</f>
        <v>5.1978259868269538E-2</v>
      </c>
      <c r="D17" s="16">
        <f t="shared" si="3"/>
        <v>6.4630280203570409E-2</v>
      </c>
      <c r="E17" s="16">
        <f t="shared" si="3"/>
        <v>8.425458838681979E-2</v>
      </c>
      <c r="F17" s="16">
        <f t="shared" si="3"/>
        <v>0.10318110742962296</v>
      </c>
      <c r="G17" s="16">
        <f t="shared" si="3"/>
        <v>0.12244722897147159</v>
      </c>
      <c r="H17" s="16">
        <f t="shared" si="3"/>
        <v>9.2512592255636822E-2</v>
      </c>
      <c r="I17" s="16">
        <f t="shared" si="3"/>
        <v>8.6722212333237486E-2</v>
      </c>
      <c r="J17" s="16">
        <f t="shared" si="3"/>
        <v>9.4665315597397673E-2</v>
      </c>
      <c r="K17" s="16">
        <f t="shared" si="3"/>
        <v>0.10053073263953802</v>
      </c>
      <c r="L17" s="16">
        <f t="shared" si="3"/>
        <v>0.15066793162060085</v>
      </c>
    </row>
    <row r="18" spans="2:14" outlineLevel="1" x14ac:dyDescent="0.25"/>
    <row r="19" spans="2:14" outlineLevel="1" x14ac:dyDescent="0.25">
      <c r="B19" s="35" t="s">
        <v>65</v>
      </c>
      <c r="C19" s="36">
        <f t="shared" ref="C19:L19" si="4">C13-C16</f>
        <v>55529</v>
      </c>
      <c r="D19" s="36">
        <f t="shared" si="4"/>
        <v>74184</v>
      </c>
      <c r="E19" s="36">
        <f t="shared" si="4"/>
        <v>92656</v>
      </c>
      <c r="F19" s="36">
        <f t="shared" si="4"/>
        <v>97836</v>
      </c>
      <c r="G19" s="36">
        <f t="shared" si="4"/>
        <v>103222</v>
      </c>
      <c r="H19" s="36">
        <f t="shared" si="4"/>
        <v>128181</v>
      </c>
      <c r="I19" s="36">
        <f t="shared" si="4"/>
        <v>154338</v>
      </c>
      <c r="J19" s="36">
        <f t="shared" si="4"/>
        <v>178290</v>
      </c>
      <c r="K19" s="36">
        <f t="shared" si="4"/>
        <v>183422</v>
      </c>
      <c r="L19" s="36">
        <f t="shared" si="4"/>
        <v>207911</v>
      </c>
      <c r="M19" s="24"/>
    </row>
    <row r="20" spans="2:14" outlineLevel="1" x14ac:dyDescent="0.25">
      <c r="B20" s="15" t="s">
        <v>66</v>
      </c>
      <c r="C20" s="16">
        <f t="shared" ref="C20:L20" si="5">C19/C6</f>
        <v>0.18268882791475025</v>
      </c>
      <c r="D20" s="16">
        <f t="shared" si="5"/>
        <v>0.18981482666066224</v>
      </c>
      <c r="E20" s="16">
        <f t="shared" si="5"/>
        <v>0.16303003323732224</v>
      </c>
      <c r="F20" s="16">
        <f t="shared" si="5"/>
        <v>0.16396756044707456</v>
      </c>
      <c r="G20" s="16">
        <f t="shared" si="5"/>
        <v>0.22136060578116992</v>
      </c>
      <c r="H20" s="16">
        <f t="shared" si="5"/>
        <v>0.18451991080695521</v>
      </c>
      <c r="I20" s="16">
        <f t="shared" si="5"/>
        <v>0.1761053222515849</v>
      </c>
      <c r="J20" s="16">
        <f t="shared" si="5"/>
        <v>0.19831131171993269</v>
      </c>
      <c r="K20" s="16">
        <f t="shared" si="5"/>
        <v>0.19050497496936084</v>
      </c>
      <c r="L20" s="16">
        <f t="shared" si="5"/>
        <v>0.19665840284747058</v>
      </c>
    </row>
    <row r="21" spans="2:14" outlineLevel="1" x14ac:dyDescent="0.25"/>
    <row r="22" spans="2:14" outlineLevel="1" x14ac:dyDescent="0.25">
      <c r="B22" s="2" t="s">
        <v>6</v>
      </c>
      <c r="C22" s="24" cm="1">
        <f t="array" ref="C22:L22">IFERROR('Data Sheet'!B27:K27,0)</f>
        <v>3849</v>
      </c>
      <c r="D22" s="24">
        <v>8052</v>
      </c>
      <c r="E22" s="24">
        <v>16495</v>
      </c>
      <c r="F22" s="24">
        <v>22027</v>
      </c>
      <c r="G22" s="24">
        <v>21189</v>
      </c>
      <c r="H22" s="24">
        <v>14584</v>
      </c>
      <c r="I22" s="24">
        <v>19571</v>
      </c>
      <c r="J22" s="24">
        <v>23118</v>
      </c>
      <c r="K22" s="24">
        <v>24269</v>
      </c>
      <c r="L22" s="24">
        <v>27061</v>
      </c>
      <c r="M22" s="24">
        <f>IFERROR(SUM('Data Sheet'!H46:K46),0)</f>
        <v>27061</v>
      </c>
    </row>
    <row r="23" spans="2:14" outlineLevel="1" x14ac:dyDescent="0.25">
      <c r="B23" s="18" t="s">
        <v>67</v>
      </c>
      <c r="C23" s="19">
        <f t="shared" ref="C23:M23" si="6">C22/C6</f>
        <v>1.2663100337551077E-2</v>
      </c>
      <c r="D23" s="19">
        <f t="shared" si="6"/>
        <v>2.0602676915125261E-2</v>
      </c>
      <c r="E23" s="19">
        <f t="shared" si="6"/>
        <v>2.902327316363355E-2</v>
      </c>
      <c r="F23" s="19">
        <f t="shared" si="6"/>
        <v>3.6915996708447925E-2</v>
      </c>
      <c r="G23" s="19">
        <f t="shared" si="6"/>
        <v>4.5440021273538675E-2</v>
      </c>
      <c r="H23" s="19">
        <f t="shared" si="6"/>
        <v>2.0994050438119805E-2</v>
      </c>
      <c r="I23" s="19">
        <f t="shared" si="6"/>
        <v>2.2331229261657971E-2</v>
      </c>
      <c r="J23" s="19">
        <f t="shared" si="6"/>
        <v>2.5714066433010285E-2</v>
      </c>
      <c r="K23" s="19">
        <f t="shared" si="6"/>
        <v>2.5206165222990799E-2</v>
      </c>
      <c r="L23" s="19">
        <f t="shared" si="6"/>
        <v>2.5596399610676692E-2</v>
      </c>
      <c r="M23" s="19">
        <f t="shared" si="6"/>
        <v>2.5596399610676692E-2</v>
      </c>
      <c r="N23" s="9"/>
    </row>
    <row r="24" spans="2:14" outlineLevel="1" x14ac:dyDescent="0.25"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9"/>
    </row>
    <row r="25" spans="2:14" outlineLevel="1" x14ac:dyDescent="0.25">
      <c r="B25" s="36" t="s">
        <v>145</v>
      </c>
      <c r="C25" s="36">
        <f>IFERROR(C19-C27,0)</f>
        <v>43883</v>
      </c>
      <c r="D25" s="36">
        <f t="shared" ref="D25:L25" si="7">IFERROR(D19-D27,0)</f>
        <v>57478</v>
      </c>
      <c r="E25" s="36">
        <f t="shared" si="7"/>
        <v>71722</v>
      </c>
      <c r="F25" s="36">
        <f t="shared" si="7"/>
        <v>75633</v>
      </c>
      <c r="G25" s="36">
        <f t="shared" si="7"/>
        <v>76650</v>
      </c>
      <c r="H25" s="36">
        <f t="shared" si="7"/>
        <v>98399</v>
      </c>
      <c r="I25" s="36">
        <f t="shared" si="7"/>
        <v>114035</v>
      </c>
      <c r="J25" s="36">
        <f t="shared" si="7"/>
        <v>127458</v>
      </c>
      <c r="K25" s="36">
        <f t="shared" si="7"/>
        <v>130286</v>
      </c>
      <c r="L25" s="36">
        <f t="shared" si="7"/>
        <v>150223</v>
      </c>
    </row>
    <row r="26" spans="2:14" outlineLevel="1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2:14" outlineLevel="1" x14ac:dyDescent="0.25">
      <c r="B27" s="24" t="s">
        <v>5</v>
      </c>
      <c r="C27" s="24">
        <f>IFERROR('Data Sheet'!B26,0)</f>
        <v>11646</v>
      </c>
      <c r="D27" s="24">
        <f>IFERROR('Data Sheet'!C26,0)</f>
        <v>16706</v>
      </c>
      <c r="E27" s="24">
        <f>IFERROR('Data Sheet'!D26,0)</f>
        <v>20934</v>
      </c>
      <c r="F27" s="24">
        <f>IFERROR('Data Sheet'!E26,0)</f>
        <v>22203</v>
      </c>
      <c r="G27" s="24">
        <f>IFERROR('Data Sheet'!F26,0)</f>
        <v>26572</v>
      </c>
      <c r="H27" s="24">
        <f>IFERROR('Data Sheet'!G26,0)</f>
        <v>29782</v>
      </c>
      <c r="I27" s="24">
        <f>IFERROR('Data Sheet'!H26,0)</f>
        <v>40303</v>
      </c>
      <c r="J27" s="24">
        <f>IFERROR('Data Sheet'!I26,0)</f>
        <v>50832</v>
      </c>
      <c r="K27" s="24">
        <f>IFERROR('Data Sheet'!J26,0)</f>
        <v>53136</v>
      </c>
      <c r="L27" s="24">
        <f>IFERROR('Data Sheet'!K26,0)</f>
        <v>57688</v>
      </c>
      <c r="M27" s="24">
        <f>IFERROR(SUM('Data Sheet'!H45:K45),0)</f>
        <v>57688</v>
      </c>
    </row>
    <row r="28" spans="2:14" outlineLevel="1" x14ac:dyDescent="0.25">
      <c r="B28" s="15" t="s">
        <v>68</v>
      </c>
      <c r="C28" s="16">
        <f t="shared" ref="C28:M28" si="8">C27/C6</f>
        <v>3.8315008192029057E-2</v>
      </c>
      <c r="D28" s="16">
        <f t="shared" si="8"/>
        <v>4.2745693063100179E-2</v>
      </c>
      <c r="E28" s="16">
        <f t="shared" si="8"/>
        <v>3.6833779958017863E-2</v>
      </c>
      <c r="F28" s="16">
        <f t="shared" si="8"/>
        <v>3.721096267842508E-2</v>
      </c>
      <c r="G28" s="16">
        <f t="shared" si="8"/>
        <v>5.6983918319905125E-2</v>
      </c>
      <c r="H28" s="16">
        <f t="shared" si="8"/>
        <v>4.2871969977241089E-2</v>
      </c>
      <c r="I28" s="16">
        <f t="shared" si="8"/>
        <v>4.5987202132369384E-2</v>
      </c>
      <c r="J28" s="16">
        <f t="shared" si="8"/>
        <v>5.6540246774062587E-2</v>
      </c>
      <c r="K28" s="16">
        <f t="shared" si="8"/>
        <v>5.5187885586090855E-2</v>
      </c>
      <c r="L28" s="16">
        <f t="shared" si="8"/>
        <v>5.4565799517413138E-2</v>
      </c>
      <c r="M28" s="16">
        <f t="shared" si="8"/>
        <v>5.4565799517413138E-2</v>
      </c>
    </row>
    <row r="29" spans="2:14" outlineLevel="1" x14ac:dyDescent="0.25"/>
    <row r="30" spans="2:14" outlineLevel="1" x14ac:dyDescent="0.25">
      <c r="B30" s="36" t="s">
        <v>70</v>
      </c>
      <c r="C30" s="36">
        <f>IFERROR('Data Sheet'!B28,0)</f>
        <v>40034</v>
      </c>
      <c r="D30" s="36">
        <f>IFERROR('Data Sheet'!C28,0)</f>
        <v>49426</v>
      </c>
      <c r="E30" s="36">
        <f>IFERROR('Data Sheet'!D28,0)</f>
        <v>55227</v>
      </c>
      <c r="F30" s="36">
        <f>IFERROR('Data Sheet'!E28,0)</f>
        <v>53606</v>
      </c>
      <c r="G30" s="36">
        <f>IFERROR('Data Sheet'!F28,0)</f>
        <v>55461</v>
      </c>
      <c r="H30" s="36">
        <f>IFERROR('Data Sheet'!G28,0)</f>
        <v>83815</v>
      </c>
      <c r="I30" s="36">
        <f>IFERROR('Data Sheet'!H28,0)</f>
        <v>94464</v>
      </c>
      <c r="J30" s="36">
        <f>IFERROR('Data Sheet'!I28,0)</f>
        <v>104340</v>
      </c>
      <c r="K30" s="36">
        <f>IFERROR('Data Sheet'!J28,0)</f>
        <v>106017</v>
      </c>
      <c r="L30" s="36">
        <f>IFERROR('Data Sheet'!K28,0)</f>
        <v>123162</v>
      </c>
      <c r="M30" s="36">
        <f>IFERROR(SUM('Data Sheet'!H47:K47),0)</f>
        <v>123162</v>
      </c>
    </row>
    <row r="31" spans="2:14" outlineLevel="1" x14ac:dyDescent="0.25">
      <c r="B31" s="15" t="s">
        <v>71</v>
      </c>
      <c r="C31" s="16">
        <f t="shared" ref="C31:M31" si="9">C30/C6</f>
        <v>0.13171071938517012</v>
      </c>
      <c r="D31" s="16">
        <f t="shared" si="9"/>
        <v>0.12646645668243681</v>
      </c>
      <c r="E31" s="16">
        <f t="shared" si="9"/>
        <v>9.7172980115670812E-2</v>
      </c>
      <c r="F31" s="16">
        <f t="shared" si="9"/>
        <v>8.9840601060201544E-2</v>
      </c>
      <c r="G31" s="16">
        <f t="shared" si="9"/>
        <v>0.11893666618772611</v>
      </c>
      <c r="H31" s="16">
        <f t="shared" si="9"/>
        <v>0.12065389039159431</v>
      </c>
      <c r="I31" s="16">
        <f t="shared" si="9"/>
        <v>0.10778689085755755</v>
      </c>
      <c r="J31" s="16">
        <f t="shared" si="9"/>
        <v>0.11605699851285982</v>
      </c>
      <c r="K31" s="16">
        <f t="shared" si="9"/>
        <v>0.11011092416027918</v>
      </c>
      <c r="L31" s="16">
        <f t="shared" si="9"/>
        <v>0.11649620371938076</v>
      </c>
      <c r="M31" s="16">
        <f t="shared" si="9"/>
        <v>0.11649620371938076</v>
      </c>
    </row>
    <row r="32" spans="2:14" outlineLevel="1" x14ac:dyDescent="0.25"/>
    <row r="33" spans="2:13" outlineLevel="1" x14ac:dyDescent="0.25">
      <c r="B33" s="24" t="s">
        <v>8</v>
      </c>
      <c r="C33" s="24">
        <f>IFERROR('Data Sheet'!B29,0)</f>
        <v>10201</v>
      </c>
      <c r="D33" s="24">
        <f>IFERROR('Data Sheet'!C29,0)</f>
        <v>13346</v>
      </c>
      <c r="E33" s="24">
        <f>IFERROR('Data Sheet'!D29,0)</f>
        <v>15390</v>
      </c>
      <c r="F33" s="24">
        <f>IFERROR('Data Sheet'!E29,0)</f>
        <v>13726</v>
      </c>
      <c r="G33" s="24">
        <f>IFERROR('Data Sheet'!F29,0)</f>
        <v>1722</v>
      </c>
      <c r="H33" s="24">
        <f>IFERROR('Data Sheet'!G29,0)</f>
        <v>15970</v>
      </c>
      <c r="I33" s="24">
        <f>IFERROR('Data Sheet'!H29,0)</f>
        <v>20376</v>
      </c>
      <c r="J33" s="24">
        <f>IFERROR('Data Sheet'!I29,0)</f>
        <v>25707</v>
      </c>
      <c r="K33" s="24">
        <f>IFERROR('Data Sheet'!J29,0)</f>
        <v>25230</v>
      </c>
      <c r="L33" s="24">
        <f>IFERROR('Data Sheet'!K29,0)</f>
        <v>27552</v>
      </c>
    </row>
    <row r="34" spans="2:13" outlineLevel="1" x14ac:dyDescent="0.25">
      <c r="B34" s="15" t="s">
        <v>72</v>
      </c>
      <c r="C34" s="16">
        <f>C33/C19</f>
        <v>0.18370581137783862</v>
      </c>
      <c r="D34" s="16">
        <f t="shared" ref="D34:L34" si="10">D33/D19</f>
        <v>0.17990402243071282</v>
      </c>
      <c r="E34" s="16">
        <f t="shared" si="10"/>
        <v>0.16609825591434985</v>
      </c>
      <c r="F34" s="16">
        <f t="shared" si="10"/>
        <v>0.14029600556032545</v>
      </c>
      <c r="G34" s="16">
        <f t="shared" si="10"/>
        <v>1.6682490166824902E-2</v>
      </c>
      <c r="H34" s="16">
        <f t="shared" si="10"/>
        <v>0.12458944773406355</v>
      </c>
      <c r="I34" s="16">
        <f t="shared" si="10"/>
        <v>0.13202192590288847</v>
      </c>
      <c r="J34" s="16">
        <f t="shared" si="10"/>
        <v>0.14418643782601379</v>
      </c>
      <c r="K34" s="16">
        <f t="shared" si="10"/>
        <v>0.13755165683505796</v>
      </c>
      <c r="L34" s="16">
        <f t="shared" si="10"/>
        <v>0.13251824097811082</v>
      </c>
    </row>
    <row r="35" spans="2:13" outlineLevel="1" x14ac:dyDescent="0.25"/>
    <row r="36" spans="2:13" outlineLevel="1" x14ac:dyDescent="0.25">
      <c r="B36" s="36" t="s">
        <v>73</v>
      </c>
      <c r="C36" s="36">
        <f>C30-C33</f>
        <v>29833</v>
      </c>
      <c r="D36" s="36">
        <f t="shared" ref="D36:L36" si="11">D30-D33</f>
        <v>36080</v>
      </c>
      <c r="E36" s="36">
        <f t="shared" si="11"/>
        <v>39837</v>
      </c>
      <c r="F36" s="36">
        <f t="shared" si="11"/>
        <v>39880</v>
      </c>
      <c r="G36" s="36">
        <f t="shared" si="11"/>
        <v>53739</v>
      </c>
      <c r="H36" s="36">
        <f t="shared" si="11"/>
        <v>67845</v>
      </c>
      <c r="I36" s="36">
        <f t="shared" si="11"/>
        <v>74088</v>
      </c>
      <c r="J36" s="36">
        <f t="shared" si="11"/>
        <v>78633</v>
      </c>
      <c r="K36" s="36">
        <f t="shared" si="11"/>
        <v>80787</v>
      </c>
      <c r="L36" s="36">
        <f t="shared" si="11"/>
        <v>95610</v>
      </c>
      <c r="M36" s="36">
        <f>M30-M33</f>
        <v>123162</v>
      </c>
    </row>
    <row r="37" spans="2:13" outlineLevel="1" x14ac:dyDescent="0.25">
      <c r="B37" s="15" t="s">
        <v>74</v>
      </c>
      <c r="C37" s="16">
        <f t="shared" ref="C37:M37" si="12">C36/C6</f>
        <v>9.8149720023424591E-2</v>
      </c>
      <c r="D37" s="16">
        <f t="shared" si="12"/>
        <v>9.2318005849195153E-2</v>
      </c>
      <c r="E37" s="16">
        <f t="shared" si="12"/>
        <v>7.0093975933293098E-2</v>
      </c>
      <c r="F37" s="16">
        <f t="shared" si="12"/>
        <v>6.6836607288005778E-2</v>
      </c>
      <c r="G37" s="16">
        <f t="shared" si="12"/>
        <v>0.11524382005845935</v>
      </c>
      <c r="H37" s="16">
        <f t="shared" si="12"/>
        <v>9.7664656608217104E-2</v>
      </c>
      <c r="I37" s="16">
        <f t="shared" si="12"/>
        <v>8.4537127052154507E-2</v>
      </c>
      <c r="J37" s="16">
        <f t="shared" si="12"/>
        <v>8.7463196895358503E-2</v>
      </c>
      <c r="K37" s="16">
        <f t="shared" si="12"/>
        <v>8.3906649217922347E-2</v>
      </c>
      <c r="L37" s="16">
        <f t="shared" si="12"/>
        <v>9.0435378100469255E-2</v>
      </c>
      <c r="M37" s="16">
        <f t="shared" si="12"/>
        <v>0.11649620371938076</v>
      </c>
    </row>
    <row r="38" spans="2:13" outlineLevel="1" x14ac:dyDescent="0.25"/>
    <row r="39" spans="2:13" outlineLevel="1" x14ac:dyDescent="0.25">
      <c r="B39" s="24" t="s">
        <v>75</v>
      </c>
      <c r="C39" s="24">
        <f>IFERROR('Data Sheet'!B93,0)</f>
        <v>1387.22</v>
      </c>
      <c r="D39" s="24">
        <f>IFERROR('Data Sheet'!C93,0)</f>
        <v>1351.39</v>
      </c>
      <c r="E39" s="24">
        <f>IFERROR('Data Sheet'!D93,0)</f>
        <v>1352.26</v>
      </c>
      <c r="F39" s="24">
        <f>IFERROR('Data Sheet'!E93,0)</f>
        <v>1352.37</v>
      </c>
      <c r="G39" s="24">
        <f>IFERROR('Data Sheet'!F93,0)</f>
        <v>1267.8900000000001</v>
      </c>
      <c r="H39" s="24">
        <f>IFERROR('Data Sheet'!G93,0)</f>
        <v>1352.98</v>
      </c>
      <c r="I39" s="24">
        <f>IFERROR('Data Sheet'!H93,0)</f>
        <v>1353.12</v>
      </c>
      <c r="J39" s="24">
        <f>IFERROR('Data Sheet'!I93,0)</f>
        <v>1353.14</v>
      </c>
      <c r="K39" s="24">
        <f>IFERROR('Data Sheet'!J93,0)</f>
        <v>1353.24</v>
      </c>
      <c r="L39" s="24">
        <f>IFERROR('Data Sheet'!K93,0)</f>
        <v>1353.25</v>
      </c>
    </row>
    <row r="40" spans="2:13" outlineLevel="1" x14ac:dyDescent="0.25"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 spans="2:13" outlineLevel="1" x14ac:dyDescent="0.25">
      <c r="B41" s="24" t="s">
        <v>31</v>
      </c>
      <c r="C41" s="24">
        <f>IFERROR(C36/C39,0)</f>
        <v>21.50560113031819</v>
      </c>
      <c r="D41" s="24">
        <f t="shared" ref="D41:M41" si="13">IFERROR(D36/D39,0)</f>
        <v>26.698436424718253</v>
      </c>
      <c r="E41" s="24">
        <f t="shared" si="13"/>
        <v>29.459571384201265</v>
      </c>
      <c r="F41" s="24">
        <f t="shared" si="13"/>
        <v>29.488971213499266</v>
      </c>
      <c r="G41" s="24">
        <f t="shared" si="13"/>
        <v>42.384591723256747</v>
      </c>
      <c r="H41" s="24">
        <f t="shared" si="13"/>
        <v>50.144865408210023</v>
      </c>
      <c r="I41" s="24">
        <f t="shared" si="13"/>
        <v>54.753458673288407</v>
      </c>
      <c r="J41" s="24">
        <f t="shared" si="13"/>
        <v>58.111503613816751</v>
      </c>
      <c r="K41" s="24">
        <f t="shared" si="13"/>
        <v>59.698944754810675</v>
      </c>
      <c r="L41" s="24">
        <f t="shared" si="13"/>
        <v>70.652133752078328</v>
      </c>
      <c r="M41" s="24">
        <f t="shared" si="13"/>
        <v>0</v>
      </c>
    </row>
    <row r="42" spans="2:13" outlineLevel="1" x14ac:dyDescent="0.25">
      <c r="B42" s="15" t="s">
        <v>77</v>
      </c>
      <c r="C42" s="16"/>
      <c r="D42" s="16">
        <f>IFERROR(D41/C41-1,0)</f>
        <v>0.241464317269388</v>
      </c>
      <c r="E42" s="16">
        <f t="shared" ref="E42:L42" si="14">IFERROR(E41/D41-1,0)</f>
        <v>0.10341935069001518</v>
      </c>
      <c r="F42" s="16">
        <f t="shared" si="14"/>
        <v>9.979720653290336E-4</v>
      </c>
      <c r="G42" s="16">
        <f t="shared" si="14"/>
        <v>0.43730316722118157</v>
      </c>
      <c r="H42" s="16">
        <f t="shared" si="14"/>
        <v>0.18309185884395718</v>
      </c>
      <c r="I42" s="16">
        <f t="shared" si="14"/>
        <v>9.1905586495478753E-2</v>
      </c>
      <c r="J42" s="16">
        <f t="shared" si="14"/>
        <v>6.1330279801421472E-2</v>
      </c>
      <c r="K42" s="16">
        <f t="shared" si="14"/>
        <v>2.731715826083847E-2</v>
      </c>
      <c r="L42" s="16">
        <f t="shared" si="14"/>
        <v>0.18347374551180851</v>
      </c>
      <c r="M42" s="24"/>
    </row>
    <row r="43" spans="2:13" outlineLevel="1" x14ac:dyDescent="0.25"/>
    <row r="44" spans="2:13" outlineLevel="1" x14ac:dyDescent="0.25">
      <c r="B44" s="24" t="s">
        <v>76</v>
      </c>
      <c r="C44" s="24">
        <f>IFERROR('Data Sheet'!B31/C39,0)</f>
        <v>2.346347371000995</v>
      </c>
      <c r="D44" s="24">
        <f>IFERROR('Data Sheet'!C31/D39,0)</f>
        <v>2.6292928022258559</v>
      </c>
      <c r="E44" s="24">
        <f>IFERROR('Data Sheet'!D31/E39,0)</f>
        <v>2.8484906748702175</v>
      </c>
      <c r="F44" s="24">
        <f>IFERROR('Data Sheet'!E31/F39,0)</f>
        <v>3.0467623505401633</v>
      </c>
      <c r="G44" s="24">
        <f>IFERROR('Data Sheet'!F31/G39,0)</f>
        <v>3.5582739827587564</v>
      </c>
      <c r="H44" s="24">
        <f>IFERROR('Data Sheet'!G31/H39,0)</f>
        <v>4.0000591287380445</v>
      </c>
      <c r="I44" s="24">
        <f>IFERROR('Data Sheet'!H31/I39,0)</f>
        <v>4.5002660517914155</v>
      </c>
      <c r="J44" s="24">
        <f>IFERROR('Data Sheet'!I31/J39,0)</f>
        <v>5.0002217065492109</v>
      </c>
      <c r="K44" s="24">
        <f>IFERROR('Data Sheet'!J31/K39,0)</f>
        <v>5.4998374272117294</v>
      </c>
      <c r="L44" s="24">
        <f>IFERROR('Data Sheet'!K31/L39,0)</f>
        <v>5.9997783114723813</v>
      </c>
      <c r="M44" s="24">
        <f>IFERROR('Data Sheet'!L31/M39,0)</f>
        <v>0</v>
      </c>
    </row>
    <row r="45" spans="2:13" outlineLevel="1" x14ac:dyDescent="0.25">
      <c r="B45" s="15" t="s">
        <v>78</v>
      </c>
      <c r="C45" s="16">
        <f>IFERROR(C44/C41,0)</f>
        <v>0.10910401233533336</v>
      </c>
      <c r="D45" s="16">
        <f t="shared" ref="D45:L45" si="15">IFERROR(D44/D41,0)</f>
        <v>9.8481152993348101E-2</v>
      </c>
      <c r="E45" s="16">
        <f t="shared" si="15"/>
        <v>9.6691517935587515E-2</v>
      </c>
      <c r="F45" s="16">
        <f t="shared" si="15"/>
        <v>0.10331870611835507</v>
      </c>
      <c r="G45" s="16">
        <f t="shared" si="15"/>
        <v>8.3952064608571048E-2</v>
      </c>
      <c r="H45" s="16">
        <f t="shared" si="15"/>
        <v>7.9770064116736678E-2</v>
      </c>
      <c r="I45" s="16">
        <f t="shared" si="15"/>
        <v>8.2191448007774531E-2</v>
      </c>
      <c r="J45" s="16">
        <f t="shared" si="15"/>
        <v>8.6045299047473697E-2</v>
      </c>
      <c r="K45" s="16">
        <f t="shared" si="15"/>
        <v>9.2126208424622782E-2</v>
      </c>
      <c r="L45" s="16">
        <f t="shared" si="15"/>
        <v>8.4919987449011608E-2</v>
      </c>
    </row>
    <row r="47" spans="2:13" x14ac:dyDescent="0.25">
      <c r="B47" s="2" t="s">
        <v>79</v>
      </c>
      <c r="C47" s="25">
        <f>IFERROR(1-C45,0)</f>
        <v>0.8908959876646666</v>
      </c>
      <c r="D47" s="25">
        <f t="shared" ref="D47:M47" si="16">IFERROR(1-D45,0)</f>
        <v>0.90151884700665186</v>
      </c>
      <c r="E47" s="25">
        <f t="shared" si="16"/>
        <v>0.9033084820644125</v>
      </c>
      <c r="F47" s="25">
        <f t="shared" si="16"/>
        <v>0.89668129388164497</v>
      </c>
      <c r="G47" s="25">
        <f t="shared" si="16"/>
        <v>0.91604793539142892</v>
      </c>
      <c r="H47" s="25">
        <f t="shared" si="16"/>
        <v>0.92022993588326329</v>
      </c>
      <c r="I47" s="25">
        <f t="shared" si="16"/>
        <v>0.91780855199222544</v>
      </c>
      <c r="J47" s="25">
        <f t="shared" si="16"/>
        <v>0.91395470095252629</v>
      </c>
      <c r="K47" s="25">
        <f t="shared" si="16"/>
        <v>0.90787379157537718</v>
      </c>
      <c r="L47" s="25">
        <f t="shared" si="16"/>
        <v>0.91508001255098836</v>
      </c>
      <c r="M47" s="25">
        <f t="shared" si="16"/>
        <v>1</v>
      </c>
    </row>
    <row r="50" spans="2:13" x14ac:dyDescent="0.25">
      <c r="B50" s="23" t="s">
        <v>80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</row>
    <row r="51" spans="2:13" hidden="1" outlineLevel="1" x14ac:dyDescent="0.25">
      <c r="B51" s="4" t="s">
        <v>11</v>
      </c>
      <c r="C51" s="27">
        <f>IFERROR('Data Sheet'!B57,0)</f>
        <v>2959</v>
      </c>
      <c r="D51" s="27">
        <f>IFERROR('Data Sheet'!C57,0)</f>
        <v>5922</v>
      </c>
      <c r="E51" s="27">
        <f>IFERROR('Data Sheet'!D57,0)</f>
        <v>5926</v>
      </c>
      <c r="F51" s="27">
        <f>IFERROR('Data Sheet'!E57,0)</f>
        <v>6339</v>
      </c>
      <c r="G51" s="27">
        <f>IFERROR('Data Sheet'!F57,0)</f>
        <v>6445</v>
      </c>
      <c r="H51" s="27">
        <f>IFERROR('Data Sheet'!G57,0)</f>
        <v>6765</v>
      </c>
      <c r="I51" s="27">
        <f>IFERROR('Data Sheet'!H57,0)</f>
        <v>6766</v>
      </c>
      <c r="J51" s="27">
        <f>IFERROR('Data Sheet'!I57,0)</f>
        <v>6766</v>
      </c>
      <c r="K51" s="27">
        <f>IFERROR('Data Sheet'!J57,0)</f>
        <v>13532</v>
      </c>
      <c r="L51" s="27">
        <f>IFERROR('Data Sheet'!K57,0)</f>
        <v>13532</v>
      </c>
      <c r="M51">
        <f>IFERROR('Data Sheet'!L57,0)</f>
        <v>0</v>
      </c>
    </row>
    <row r="52" spans="2:13" hidden="1" outlineLevel="1" x14ac:dyDescent="0.25">
      <c r="B52" s="4" t="s">
        <v>12</v>
      </c>
      <c r="C52" s="27" cm="1">
        <f t="array" ref="C52:C55">IFERROR('Data Sheet'!B58:B61,0)</f>
        <v>260750</v>
      </c>
      <c r="D52" s="27" cm="1">
        <f t="array" ref="D52:D55">IFERROR('Data Sheet'!C58:C61,0)</f>
        <v>287584</v>
      </c>
      <c r="E52" s="27" cm="1">
        <f t="array" ref="E52:E55">IFERROR('Data Sheet'!D58:D61,0)</f>
        <v>381186</v>
      </c>
      <c r="F52" s="27" cm="1">
        <f t="array" ref="F52:F55">IFERROR('Data Sheet'!E58:E61,0)</f>
        <v>442827</v>
      </c>
      <c r="G52" s="27" cm="1">
        <f t="array" ref="G52:G55">IFERROR('Data Sheet'!F58:F61,0)</f>
        <v>693727</v>
      </c>
      <c r="H52" s="27" cm="1">
        <f t="array" ref="H52:H55">IFERROR('Data Sheet'!G58:G61,0)</f>
        <v>772720</v>
      </c>
      <c r="I52" s="27" cm="1">
        <f t="array" ref="I52:I55">IFERROR('Data Sheet'!H58:H61,0)</f>
        <v>709106</v>
      </c>
      <c r="J52" s="27" cm="1">
        <f t="array" ref="J52:J55">IFERROR('Data Sheet'!I58:I61,0)</f>
        <v>786715</v>
      </c>
      <c r="K52" s="27" cm="1">
        <f t="array" ref="K52:K55">IFERROR('Data Sheet'!J58:J61,0)</f>
        <v>829668</v>
      </c>
      <c r="L52" s="27" cm="1">
        <f t="array" ref="L52:L55">IFERROR('Data Sheet'!K58:K61,0)</f>
        <v>890498</v>
      </c>
      <c r="M52" cm="1">
        <f t="array" ref="M52:M55">IFERROR('Data Sheet'!L58:L61,0)</f>
        <v>0</v>
      </c>
    </row>
    <row r="53" spans="2:13" hidden="1" outlineLevel="1" x14ac:dyDescent="0.25">
      <c r="B53" s="4" t="s">
        <v>37</v>
      </c>
      <c r="C53" s="27">
        <v>217475</v>
      </c>
      <c r="D53" s="27">
        <v>239843</v>
      </c>
      <c r="E53" s="27">
        <v>307714</v>
      </c>
      <c r="F53" s="27">
        <v>355133</v>
      </c>
      <c r="G53" s="27">
        <v>278962</v>
      </c>
      <c r="H53" s="27">
        <v>319158</v>
      </c>
      <c r="I53" s="27">
        <v>451664</v>
      </c>
      <c r="J53" s="27">
        <v>350719</v>
      </c>
      <c r="K53" s="27">
        <v>374313</v>
      </c>
      <c r="L53" s="27">
        <v>398000</v>
      </c>
      <c r="M53">
        <v>0</v>
      </c>
    </row>
    <row r="54" spans="2:13" hidden="1" outlineLevel="1" x14ac:dyDescent="0.25">
      <c r="B54" s="4" t="s">
        <v>38</v>
      </c>
      <c r="C54" s="27">
        <v>225618</v>
      </c>
      <c r="D54" s="27">
        <v>277924</v>
      </c>
      <c r="E54" s="27">
        <v>302804</v>
      </c>
      <c r="F54" s="27">
        <v>358716</v>
      </c>
      <c r="G54" s="27">
        <v>340931</v>
      </c>
      <c r="H54" s="27">
        <v>399979</v>
      </c>
      <c r="I54" s="27">
        <v>438346</v>
      </c>
      <c r="J54" s="27">
        <v>610848</v>
      </c>
      <c r="K54" s="27">
        <v>732200</v>
      </c>
      <c r="L54" s="27">
        <v>876110</v>
      </c>
      <c r="M54">
        <v>0</v>
      </c>
    </row>
    <row r="55" spans="2:13" hidden="1" outlineLevel="1" x14ac:dyDescent="0.25">
      <c r="B55" s="37" t="s">
        <v>81</v>
      </c>
      <c r="C55" s="36">
        <v>706802</v>
      </c>
      <c r="D55" s="36">
        <v>811273</v>
      </c>
      <c r="E55" s="36">
        <v>997630</v>
      </c>
      <c r="F55" s="36">
        <v>1163015</v>
      </c>
      <c r="G55" s="36">
        <v>1320065</v>
      </c>
      <c r="H55" s="36">
        <v>1498622</v>
      </c>
      <c r="I55" s="36">
        <v>1605882</v>
      </c>
      <c r="J55" s="36">
        <v>1755048</v>
      </c>
      <c r="K55" s="36">
        <v>1949713</v>
      </c>
      <c r="L55" s="36">
        <v>2178140</v>
      </c>
      <c r="M55" s="35">
        <v>0</v>
      </c>
    </row>
    <row r="56" spans="2:13" hidden="1" outlineLevel="1" x14ac:dyDescent="0.25">
      <c r="B56" s="1"/>
    </row>
    <row r="57" spans="2:13" hidden="1" outlineLevel="1" x14ac:dyDescent="0.25">
      <c r="B57" s="4" t="s">
        <v>82</v>
      </c>
      <c r="C57" s="27">
        <f>IFERROR('Data Sheet'!B62,0)</f>
        <v>198526</v>
      </c>
      <c r="D57" s="27">
        <f>IFERROR('Data Sheet'!C62,0)</f>
        <v>403885</v>
      </c>
      <c r="E57" s="27">
        <f>IFERROR('Data Sheet'!D62,0)</f>
        <v>398374</v>
      </c>
      <c r="F57" s="27">
        <f>IFERROR('Data Sheet'!E62,0)</f>
        <v>532658</v>
      </c>
      <c r="G57" s="27">
        <f>IFERROR('Data Sheet'!F62,0)</f>
        <v>541258</v>
      </c>
      <c r="H57" s="27">
        <f>IFERROR('Data Sheet'!G62,0)</f>
        <v>627798</v>
      </c>
      <c r="I57" s="27">
        <f>IFERROR('Data Sheet'!H62,0)</f>
        <v>724805</v>
      </c>
      <c r="J57" s="27">
        <f>IFERROR('Data Sheet'!I62,0)</f>
        <v>779985</v>
      </c>
      <c r="K57" s="27">
        <f>IFERROR('Data Sheet'!J62,0)</f>
        <v>999393</v>
      </c>
      <c r="L57" s="27">
        <f>IFERROR('Data Sheet'!K62,0)</f>
        <v>1170194</v>
      </c>
      <c r="M57" s="27">
        <f>IFERROR('Data Sheet'!L62,0)</f>
        <v>0</v>
      </c>
    </row>
    <row r="58" spans="2:13" hidden="1" outlineLevel="1" x14ac:dyDescent="0.25">
      <c r="B58" s="4" t="s">
        <v>15</v>
      </c>
      <c r="C58" s="27">
        <f>IFERROR('Data Sheet'!B63,0)</f>
        <v>324837</v>
      </c>
      <c r="D58" s="27">
        <f>IFERROR('Data Sheet'!C63,0)</f>
        <v>187022</v>
      </c>
      <c r="E58" s="27">
        <f>IFERROR('Data Sheet'!D63,0)</f>
        <v>179463</v>
      </c>
      <c r="F58" s="27">
        <f>IFERROR('Data Sheet'!E63,0)</f>
        <v>109106</v>
      </c>
      <c r="G58" s="27">
        <f>IFERROR('Data Sheet'!F63,0)</f>
        <v>125953</v>
      </c>
      <c r="H58" s="27">
        <f>IFERROR('Data Sheet'!G63,0)</f>
        <v>172506</v>
      </c>
      <c r="I58" s="27">
        <f>IFERROR('Data Sheet'!H63,0)</f>
        <v>293752</v>
      </c>
      <c r="J58" s="27">
        <f>IFERROR('Data Sheet'!I63,0)</f>
        <v>338855</v>
      </c>
      <c r="K58" s="27">
        <f>IFERROR('Data Sheet'!J63,0)</f>
        <v>262358</v>
      </c>
      <c r="L58" s="27">
        <f>IFERROR('Data Sheet'!K63,0)</f>
        <v>192287</v>
      </c>
      <c r="M58" s="27">
        <f>IFERROR('Data Sheet'!L63,0)</f>
        <v>0</v>
      </c>
    </row>
    <row r="59" spans="2:13" hidden="1" outlineLevel="1" x14ac:dyDescent="0.25">
      <c r="B59" s="4" t="s">
        <v>16</v>
      </c>
      <c r="C59" s="27">
        <f>IFERROR('Data Sheet'!B64,0)</f>
        <v>82899</v>
      </c>
      <c r="D59" s="27">
        <f>IFERROR('Data Sheet'!C64,0)</f>
        <v>82862</v>
      </c>
      <c r="E59" s="27">
        <f>IFERROR('Data Sheet'!D64,0)</f>
        <v>235635</v>
      </c>
      <c r="F59" s="27">
        <f>IFERROR('Data Sheet'!E64,0)</f>
        <v>276767</v>
      </c>
      <c r="G59" s="27">
        <f>IFERROR('Data Sheet'!F64,0)</f>
        <v>364828</v>
      </c>
      <c r="H59" s="27">
        <f>IFERROR('Data Sheet'!G64,0)</f>
        <v>394264</v>
      </c>
      <c r="I59" s="27">
        <f>IFERROR('Data Sheet'!H64,0)</f>
        <v>235560</v>
      </c>
      <c r="J59" s="27">
        <f>IFERROR('Data Sheet'!I64,0)</f>
        <v>225672</v>
      </c>
      <c r="K59" s="27">
        <f>IFERROR('Data Sheet'!J64,0)</f>
        <v>242381</v>
      </c>
      <c r="L59" s="27">
        <f>IFERROR('Data Sheet'!K64,0)</f>
        <v>248332</v>
      </c>
      <c r="M59" s="27">
        <f>IFERROR('Data Sheet'!L64,0)</f>
        <v>0</v>
      </c>
    </row>
    <row r="60" spans="2:13" hidden="1" outlineLevel="1" x14ac:dyDescent="0.25">
      <c r="B60" s="4" t="s">
        <v>39</v>
      </c>
      <c r="C60" s="27">
        <f>IFERROR('Data Sheet'!B65-SUM('Data Sheet'!B67:B69),0)</f>
        <v>40389</v>
      </c>
      <c r="D60" s="27">
        <f>IFERROR('Data Sheet'!C65-SUM('Data Sheet'!C67:C69),0)</f>
        <v>54857</v>
      </c>
      <c r="E60" s="27">
        <f>IFERROR('Data Sheet'!D65-SUM('Data Sheet'!D67:D69),0)</f>
        <v>75427</v>
      </c>
      <c r="F60" s="27">
        <f>IFERROR('Data Sheet'!E65-SUM('Data Sheet'!E67:E69),0)</f>
        <v>120005</v>
      </c>
      <c r="G60" s="27">
        <f>IFERROR('Data Sheet'!F65-SUM('Data Sheet'!F67:F69),0)</f>
        <v>169943</v>
      </c>
      <c r="H60" s="27">
        <f>IFERROR('Data Sheet'!G65-SUM('Data Sheet'!G67:G69),0)</f>
        <v>136458</v>
      </c>
      <c r="I60" s="27">
        <f>IFERROR('Data Sheet'!H65-SUM('Data Sheet'!H67:H69),0)</f>
        <v>114645</v>
      </c>
      <c r="J60" s="27">
        <f>IFERROR('Data Sheet'!I65-SUM('Data Sheet'!I67:I69),0)</f>
        <v>128913</v>
      </c>
      <c r="K60" s="27">
        <f>IFERROR('Data Sheet'!J65-SUM('Data Sheet'!J67:J69),0)</f>
        <v>150896</v>
      </c>
      <c r="L60" s="27">
        <f>IFERROR('Data Sheet'!K65-SUM('Data Sheet'!K67:K69),0)</f>
        <v>195918</v>
      </c>
      <c r="M60" s="27">
        <f>IFERROR('Data Sheet'!L65-SUM('Data Sheet'!L67:L69),0)</f>
        <v>0</v>
      </c>
    </row>
    <row r="61" spans="2:13" hidden="1" outlineLevel="1" x14ac:dyDescent="0.25">
      <c r="B61" s="37" t="s">
        <v>83</v>
      </c>
      <c r="C61" s="36">
        <f>SUM(C57:C60)</f>
        <v>646651</v>
      </c>
      <c r="D61" s="36">
        <f t="shared" ref="D61:M61" si="17">SUM(D57:D60)</f>
        <v>728626</v>
      </c>
      <c r="E61" s="36">
        <f t="shared" si="17"/>
        <v>888899</v>
      </c>
      <c r="F61" s="36">
        <f t="shared" si="17"/>
        <v>1038536</v>
      </c>
      <c r="G61" s="36">
        <f t="shared" si="17"/>
        <v>1201982</v>
      </c>
      <c r="H61" s="36">
        <f t="shared" si="17"/>
        <v>1331026</v>
      </c>
      <c r="I61" s="36">
        <f t="shared" si="17"/>
        <v>1368762</v>
      </c>
      <c r="J61" s="36">
        <f t="shared" si="17"/>
        <v>1473425</v>
      </c>
      <c r="K61" s="36">
        <f t="shared" si="17"/>
        <v>1655028</v>
      </c>
      <c r="L61" s="36">
        <f t="shared" si="17"/>
        <v>1806731</v>
      </c>
      <c r="M61" s="36">
        <f t="shared" si="17"/>
        <v>0</v>
      </c>
    </row>
    <row r="62" spans="2:13" hidden="1" outlineLevel="1" x14ac:dyDescent="0.25">
      <c r="B62" s="1"/>
    </row>
    <row r="63" spans="2:13" hidden="1" outlineLevel="1" x14ac:dyDescent="0.25">
      <c r="B63" s="4" t="s">
        <v>44</v>
      </c>
      <c r="C63" s="27" cm="1">
        <f t="array" ref="C63:C65">IFERROR('Data Sheet'!B67:B69,0)</f>
        <v>8177</v>
      </c>
      <c r="D63" s="27" cm="1">
        <f t="array" ref="D63:D65">IFERROR('Data Sheet'!C67:C69,0)</f>
        <v>17555</v>
      </c>
      <c r="E63" s="27" cm="1">
        <f t="array" ref="E63:E65">IFERROR('Data Sheet'!D67:D69,0)</f>
        <v>30089</v>
      </c>
      <c r="F63" s="27" cm="1">
        <f t="array" ref="F63:F65">IFERROR('Data Sheet'!E67:E69,0)</f>
        <v>19656</v>
      </c>
      <c r="G63" s="27" cm="1">
        <f t="array" ref="G63:G65">IFERROR('Data Sheet'!F67:F69,0)</f>
        <v>19014</v>
      </c>
      <c r="H63" s="27" cm="1">
        <f t="array" ref="H63:H65">IFERROR('Data Sheet'!G67:G69,0)</f>
        <v>23640</v>
      </c>
      <c r="I63" s="27" cm="1">
        <f t="array" ref="I63:I65">IFERROR('Data Sheet'!H67:H69,0)</f>
        <v>28448</v>
      </c>
      <c r="J63" s="27" cm="1">
        <f t="array" ref="J63:J65">IFERROR('Data Sheet'!I67:I69,0)</f>
        <v>31628</v>
      </c>
      <c r="K63" s="27" cm="1">
        <f t="array" ref="K63:K65">IFERROR('Data Sheet'!J67:J69,0)</f>
        <v>42121</v>
      </c>
      <c r="L63" s="27" cm="1">
        <f t="array" ref="L63:L65">IFERROR('Data Sheet'!K67:K69,0)</f>
        <v>58491</v>
      </c>
    </row>
    <row r="64" spans="2:13" hidden="1" outlineLevel="1" x14ac:dyDescent="0.25">
      <c r="B64" s="4" t="s">
        <v>30</v>
      </c>
      <c r="C64" s="27">
        <v>48951</v>
      </c>
      <c r="D64" s="27">
        <v>60837</v>
      </c>
      <c r="E64" s="27">
        <v>67561</v>
      </c>
      <c r="F64" s="27">
        <v>73903</v>
      </c>
      <c r="G64" s="27">
        <v>81672</v>
      </c>
      <c r="H64" s="27">
        <v>107778</v>
      </c>
      <c r="I64" s="27">
        <v>140008</v>
      </c>
      <c r="J64" s="27">
        <v>152770</v>
      </c>
      <c r="K64" s="27">
        <v>146062</v>
      </c>
      <c r="L64" s="27">
        <v>166941</v>
      </c>
    </row>
    <row r="65" spans="2:13" hidden="1" outlineLevel="1" x14ac:dyDescent="0.25">
      <c r="B65" s="3" t="s">
        <v>53</v>
      </c>
      <c r="C65" s="27">
        <v>3023</v>
      </c>
      <c r="D65" s="27">
        <v>4255</v>
      </c>
      <c r="E65" s="27">
        <v>11081</v>
      </c>
      <c r="F65" s="27">
        <v>30920</v>
      </c>
      <c r="G65" s="27">
        <v>17397</v>
      </c>
      <c r="H65" s="27">
        <v>36178</v>
      </c>
      <c r="I65" s="27">
        <v>68664</v>
      </c>
      <c r="J65" s="27">
        <v>97225</v>
      </c>
      <c r="K65" s="27">
        <v>106502</v>
      </c>
      <c r="L65" s="27">
        <v>145977</v>
      </c>
    </row>
    <row r="66" spans="2:13" hidden="1" outlineLevel="1" x14ac:dyDescent="0.25">
      <c r="B66" s="37" t="s">
        <v>84</v>
      </c>
      <c r="C66" s="36">
        <f>SUM(_xlfn.ANCHORARRAY(C63))</f>
        <v>60151</v>
      </c>
      <c r="D66" s="36">
        <f t="shared" ref="D66:L66" si="18">SUM(_xlfn.ANCHORARRAY(D63))</f>
        <v>82647</v>
      </c>
      <c r="E66" s="36">
        <f t="shared" si="18"/>
        <v>108731</v>
      </c>
      <c r="F66" s="36">
        <f t="shared" si="18"/>
        <v>124479</v>
      </c>
      <c r="G66" s="36">
        <f t="shared" si="18"/>
        <v>118083</v>
      </c>
      <c r="H66" s="36">
        <f t="shared" si="18"/>
        <v>167596</v>
      </c>
      <c r="I66" s="36">
        <f t="shared" si="18"/>
        <v>237120</v>
      </c>
      <c r="J66" s="36">
        <f t="shared" si="18"/>
        <v>281623</v>
      </c>
      <c r="K66" s="36">
        <f t="shared" si="18"/>
        <v>294685</v>
      </c>
      <c r="L66" s="36">
        <f t="shared" si="18"/>
        <v>371409</v>
      </c>
    </row>
    <row r="67" spans="2:13" hidden="1" outlineLevel="1" x14ac:dyDescent="0.25">
      <c r="B67" s="3"/>
    </row>
    <row r="68" spans="2:13" hidden="1" outlineLevel="1" x14ac:dyDescent="0.25">
      <c r="B68" s="36" t="s">
        <v>85</v>
      </c>
      <c r="C68" s="38">
        <f>IFERROR(SUM(C66,C61),0)</f>
        <v>706802</v>
      </c>
      <c r="D68" s="36">
        <f t="shared" ref="D68:L68" si="19">IFERROR(SUM(D66,D61),0)</f>
        <v>811273</v>
      </c>
      <c r="E68" s="36">
        <f t="shared" si="19"/>
        <v>997630</v>
      </c>
      <c r="F68" s="36">
        <f t="shared" si="19"/>
        <v>1163015</v>
      </c>
      <c r="G68" s="36">
        <f t="shared" si="19"/>
        <v>1320065</v>
      </c>
      <c r="H68" s="36">
        <f t="shared" si="19"/>
        <v>1498622</v>
      </c>
      <c r="I68" s="36">
        <f t="shared" si="19"/>
        <v>1605882</v>
      </c>
      <c r="J68" s="36">
        <f t="shared" si="19"/>
        <v>1755048</v>
      </c>
      <c r="K68" s="36">
        <f t="shared" si="19"/>
        <v>1949713</v>
      </c>
      <c r="L68" s="36">
        <f t="shared" si="19"/>
        <v>2178140</v>
      </c>
    </row>
    <row r="69" spans="2:13" hidden="1" outlineLevel="1" x14ac:dyDescent="0.25"/>
    <row r="70" spans="2:13" hidden="1" outlineLevel="1" x14ac:dyDescent="0.25">
      <c r="B70" t="s">
        <v>86</v>
      </c>
      <c r="C70" s="28" t="b">
        <f>C68=C55</f>
        <v>1</v>
      </c>
      <c r="D70" s="28" t="b">
        <f t="shared" ref="D70:M70" si="20">D68=D55</f>
        <v>1</v>
      </c>
      <c r="E70" s="28" t="b">
        <f t="shared" si="20"/>
        <v>1</v>
      </c>
      <c r="F70" s="28" t="b">
        <f t="shared" si="20"/>
        <v>1</v>
      </c>
      <c r="G70" s="28" t="b">
        <f t="shared" si="20"/>
        <v>1</v>
      </c>
      <c r="H70" s="28" t="b">
        <f t="shared" si="20"/>
        <v>1</v>
      </c>
      <c r="I70" s="28" t="b">
        <f t="shared" si="20"/>
        <v>1</v>
      </c>
      <c r="J70" s="28" t="b">
        <f t="shared" si="20"/>
        <v>1</v>
      </c>
      <c r="K70" s="28" t="b">
        <f t="shared" si="20"/>
        <v>1</v>
      </c>
      <c r="L70" s="28" t="b">
        <f t="shared" si="20"/>
        <v>1</v>
      </c>
      <c r="M70" s="28" t="b">
        <f t="shared" si="20"/>
        <v>1</v>
      </c>
    </row>
    <row r="71" spans="2:13" collapsed="1" x14ac:dyDescent="0.25"/>
    <row r="73" spans="2:13" x14ac:dyDescent="0.25">
      <c r="B73" s="23" t="s">
        <v>108</v>
      </c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</row>
    <row r="74" spans="2:13" s="26" customFormat="1" ht="15.75" hidden="1" outlineLevel="1" thickBot="1" x14ac:dyDescent="0.3">
      <c r="B74" s="33" t="s">
        <v>109</v>
      </c>
    </row>
    <row r="75" spans="2:13" ht="15.75" hidden="1" outlineLevel="1" thickTop="1" x14ac:dyDescent="0.25">
      <c r="B75" s="29" t="s">
        <v>87</v>
      </c>
      <c r="C75" s="32">
        <f>IFERROR('Cash Flow Data'!C4,0)</f>
        <v>38887</v>
      </c>
      <c r="D75" s="32">
        <f>IFERROR('Cash Flow Data'!D4,0)</f>
        <v>44170</v>
      </c>
      <c r="E75" s="32">
        <f>IFERROR('Cash Flow Data'!E4,0)</f>
        <v>62765</v>
      </c>
      <c r="F75" s="32">
        <f>IFERROR('Cash Flow Data'!F4,0)</f>
        <v>83319</v>
      </c>
      <c r="G75" s="32">
        <f>IFERROR('Cash Flow Data'!G4,0)</f>
        <v>85347</v>
      </c>
      <c r="H75" s="32">
        <f>IFERROR('Cash Flow Data'!H4,0)</f>
        <v>80129</v>
      </c>
      <c r="I75" s="32">
        <f>IFERROR('Cash Flow Data'!I4,0)</f>
        <v>113726</v>
      </c>
      <c r="J75" s="32">
        <f>IFERROR('Cash Flow Data'!J4,0)</f>
        <v>140963</v>
      </c>
      <c r="K75" s="32">
        <f>IFERROR('Cash Flow Data'!K4,0)</f>
        <v>164383</v>
      </c>
      <c r="L75" s="32">
        <f>IFERROR('Cash Flow Data'!L4,0)</f>
        <v>166904</v>
      </c>
    </row>
    <row r="76" spans="2:13" hidden="1" outlineLevel="1" x14ac:dyDescent="0.25">
      <c r="B76" s="30" t="s">
        <v>44</v>
      </c>
      <c r="C76" s="32">
        <f>IFERROR('Cash Flow Data'!C5,0)</f>
        <v>-6880</v>
      </c>
      <c r="D76" s="32">
        <f>IFERROR('Cash Flow Data'!D5,0)</f>
        <v>-8511</v>
      </c>
      <c r="E76" s="32">
        <f>IFERROR('Cash Flow Data'!E5,0)</f>
        <v>-21991</v>
      </c>
      <c r="F76" s="32">
        <f>IFERROR('Cash Flow Data'!F5,0)</f>
        <v>-40136</v>
      </c>
      <c r="G76" s="32">
        <f>IFERROR('Cash Flow Data'!G5,0)</f>
        <v>-13792</v>
      </c>
      <c r="H76" s="32">
        <f>IFERROR('Cash Flow Data'!H5,0)</f>
        <v>959</v>
      </c>
      <c r="I76" s="32">
        <f>IFERROR('Cash Flow Data'!I5,0)</f>
        <v>-14180</v>
      </c>
      <c r="J76" s="32">
        <f>IFERROR('Cash Flow Data'!J5,0)</f>
        <v>13194</v>
      </c>
      <c r="K76" s="32">
        <f>IFERROR('Cash Flow Data'!K5,0)</f>
        <v>-15674</v>
      </c>
      <c r="L76" s="32">
        <f>IFERROR('Cash Flow Data'!L5,0)</f>
        <v>-17837</v>
      </c>
    </row>
    <row r="77" spans="2:13" hidden="1" outlineLevel="1" x14ac:dyDescent="0.25">
      <c r="B77" s="30" t="s">
        <v>30</v>
      </c>
      <c r="C77" s="32">
        <f>IFERROR('Cash Flow Data'!C6,0)</f>
        <v>6758</v>
      </c>
      <c r="D77" s="32">
        <f>IFERROR('Cash Flow Data'!D6,0)</f>
        <v>-6899</v>
      </c>
      <c r="E77" s="32">
        <f>IFERROR('Cash Flow Data'!E6,0)</f>
        <v>-10474</v>
      </c>
      <c r="F77" s="32">
        <f>IFERROR('Cash Flow Data'!F6,0)</f>
        <v>-6724</v>
      </c>
      <c r="G77" s="32">
        <f>IFERROR('Cash Flow Data'!G6,0)</f>
        <v>-6342</v>
      </c>
      <c r="H77" s="32">
        <f>IFERROR('Cash Flow Data'!H6,0)</f>
        <v>-7769</v>
      </c>
      <c r="I77" s="32">
        <f>IFERROR('Cash Flow Data'!I6,0)</f>
        <v>-24983</v>
      </c>
      <c r="J77" s="32">
        <f>IFERROR('Cash Flow Data'!J6,0)</f>
        <v>-32228</v>
      </c>
      <c r="K77" s="32">
        <f>IFERROR('Cash Flow Data'!K6,0)</f>
        <v>-12756</v>
      </c>
      <c r="L77" s="32">
        <f>IFERROR('Cash Flow Data'!L6,0)</f>
        <v>3134</v>
      </c>
    </row>
    <row r="78" spans="2:13" ht="15.75" hidden="1" outlineLevel="1" thickBot="1" x14ac:dyDescent="0.3">
      <c r="B78" s="30" t="s">
        <v>88</v>
      </c>
      <c r="C78" s="32">
        <f>IFERROR('Cash Flow Data'!C7,0)</f>
        <v>7951</v>
      </c>
      <c r="D78" s="32">
        <f>IFERROR('Cash Flow Data'!D7,0)</f>
        <v>30873</v>
      </c>
      <c r="E78" s="32">
        <f>IFERROR('Cash Flow Data'!E7,0)</f>
        <v>51003</v>
      </c>
      <c r="F78" s="32">
        <f>IFERROR('Cash Flow Data'!F7,0)</f>
        <v>18078</v>
      </c>
      <c r="G78" s="32">
        <f>IFERROR('Cash Flow Data'!G7,0)</f>
        <v>38050</v>
      </c>
      <c r="H78" s="32">
        <f>IFERROR('Cash Flow Data'!H7,0)</f>
        <v>-43148</v>
      </c>
      <c r="I78" s="32">
        <f>IFERROR('Cash Flow Data'!I7,0)</f>
        <v>39888</v>
      </c>
      <c r="J78" s="32">
        <f>IFERROR('Cash Flow Data'!J7,0)</f>
        <v>-600</v>
      </c>
      <c r="K78" s="32">
        <f>IFERROR('Cash Flow Data'!K7,0)</f>
        <v>34796</v>
      </c>
      <c r="L78" s="32">
        <f>IFERROR('Cash Flow Data'!L7,0)</f>
        <v>38427</v>
      </c>
    </row>
    <row r="79" spans="2:13" ht="15.75" hidden="1" outlineLevel="1" thickTop="1" x14ac:dyDescent="0.25">
      <c r="B79" s="29" t="s">
        <v>89</v>
      </c>
      <c r="C79" s="32">
        <f>IFERROR('Cash Flow Data'!C8,0)</f>
        <v>7829</v>
      </c>
      <c r="D79" s="32">
        <f>IFERROR('Cash Flow Data'!D8,0)</f>
        <v>15463</v>
      </c>
      <c r="E79" s="32">
        <f>IFERROR('Cash Flow Data'!E8,0)</f>
        <v>18538</v>
      </c>
      <c r="F79" s="32">
        <f>IFERROR('Cash Flow Data'!F8,0)</f>
        <v>-28782</v>
      </c>
      <c r="G79" s="32">
        <f>IFERROR('Cash Flow Data'!G8,0)</f>
        <v>17916</v>
      </c>
      <c r="H79" s="32">
        <f>IFERROR('Cash Flow Data'!H8,0)</f>
        <v>-49958</v>
      </c>
      <c r="I79" s="32">
        <f>IFERROR('Cash Flow Data'!I8,0)</f>
        <v>725</v>
      </c>
      <c r="J79" s="32">
        <f>IFERROR('Cash Flow Data'!J8,0)</f>
        <v>-19634</v>
      </c>
      <c r="K79" s="32">
        <f>IFERROR('Cash Flow Data'!K8,0)</f>
        <v>6366</v>
      </c>
      <c r="L79" s="32">
        <f>IFERROR('Cash Flow Data'!L8,0)</f>
        <v>23724</v>
      </c>
    </row>
    <row r="80" spans="2:13" hidden="1" outlineLevel="1" x14ac:dyDescent="0.25">
      <c r="B80" s="30" t="s">
        <v>90</v>
      </c>
      <c r="C80" s="32">
        <f>IFERROR('Cash Flow Data'!C9,0)</f>
        <v>-8582</v>
      </c>
      <c r="D80" s="32">
        <f>IFERROR('Cash Flow Data'!D9,0)</f>
        <v>-10083</v>
      </c>
      <c r="E80" s="32">
        <f>IFERROR('Cash Flow Data'!E9,0)</f>
        <v>-9844</v>
      </c>
      <c r="F80" s="32">
        <f>IFERROR('Cash Flow Data'!F9,0)</f>
        <v>-12191</v>
      </c>
      <c r="G80" s="32">
        <f>IFERROR('Cash Flow Data'!G9,0)</f>
        <v>-8386</v>
      </c>
      <c r="H80" s="32">
        <f>IFERROR('Cash Flow Data'!H9,0)</f>
        <v>-3213</v>
      </c>
      <c r="I80" s="32">
        <f>IFERROR('Cash Flow Data'!I9,0)</f>
        <v>-3797</v>
      </c>
      <c r="J80" s="32">
        <f>IFERROR('Cash Flow Data'!J9,0)</f>
        <v>-6297</v>
      </c>
      <c r="K80" s="32">
        <f>IFERROR('Cash Flow Data'!K9,0)</f>
        <v>-11961</v>
      </c>
      <c r="L80" s="32">
        <f>IFERROR('Cash Flow Data'!L9,0)</f>
        <v>-11925</v>
      </c>
    </row>
    <row r="81" spans="2:12" hidden="1" outlineLevel="1" x14ac:dyDescent="0.25">
      <c r="B81" s="57" t="s">
        <v>110</v>
      </c>
      <c r="C81" s="58">
        <f>IFERROR(SUM(C75:C80),0)</f>
        <v>45963</v>
      </c>
      <c r="D81" s="58">
        <f t="shared" ref="D81:L81" si="21">IFERROR(SUM(D75:D80),0)</f>
        <v>65013</v>
      </c>
      <c r="E81" s="58">
        <f t="shared" si="21"/>
        <v>89997</v>
      </c>
      <c r="F81" s="58">
        <f t="shared" si="21"/>
        <v>13564</v>
      </c>
      <c r="G81" s="58">
        <f t="shared" si="21"/>
        <v>112793</v>
      </c>
      <c r="H81" s="58">
        <f t="shared" si="21"/>
        <v>-23000</v>
      </c>
      <c r="I81" s="58">
        <f t="shared" si="21"/>
        <v>111379</v>
      </c>
      <c r="J81" s="58">
        <f t="shared" si="21"/>
        <v>95398</v>
      </c>
      <c r="K81" s="58">
        <f t="shared" si="21"/>
        <v>165154</v>
      </c>
      <c r="L81" s="58">
        <f t="shared" si="21"/>
        <v>202427</v>
      </c>
    </row>
    <row r="82" spans="2:12" hidden="1" outlineLevel="1" x14ac:dyDescent="0.25"/>
    <row r="83" spans="2:12" hidden="1" outlineLevel="1" x14ac:dyDescent="0.25">
      <c r="B83" s="34" t="s">
        <v>111</v>
      </c>
    </row>
    <row r="84" spans="2:12" hidden="1" outlineLevel="1" x14ac:dyDescent="0.25">
      <c r="B84" s="31" t="s">
        <v>91</v>
      </c>
      <c r="C84" s="32">
        <f>IFERROR('Cash Flow Data'!C12,0)</f>
        <v>-46898</v>
      </c>
      <c r="D84" s="32">
        <f>IFERROR('Cash Flow Data'!D12,0)</f>
        <v>-78109</v>
      </c>
      <c r="E84" s="32">
        <f>IFERROR('Cash Flow Data'!E12,0)</f>
        <v>-73953</v>
      </c>
      <c r="F84" s="32">
        <f>IFERROR('Cash Flow Data'!F12,0)</f>
        <v>-93626</v>
      </c>
      <c r="G84" s="32">
        <f>IFERROR('Cash Flow Data'!G12,0)</f>
        <v>-76517</v>
      </c>
      <c r="H84" s="32">
        <f>IFERROR('Cash Flow Data'!H12,0)</f>
        <v>-105837</v>
      </c>
      <c r="I84" s="32">
        <f>IFERROR('Cash Flow Data'!I12,0)</f>
        <v>-100145</v>
      </c>
      <c r="J84" s="32">
        <f>IFERROR('Cash Flow Data'!J12,0)</f>
        <v>-140988</v>
      </c>
      <c r="K84" s="32">
        <f>IFERROR('Cash Flow Data'!K12,0)</f>
        <v>-152883</v>
      </c>
      <c r="L84" s="32">
        <f>IFERROR('Cash Flow Data'!L12,0)</f>
        <v>-139967</v>
      </c>
    </row>
    <row r="85" spans="2:12" hidden="1" outlineLevel="1" x14ac:dyDescent="0.25">
      <c r="B85" s="31" t="s">
        <v>92</v>
      </c>
      <c r="C85" s="32">
        <f>IFERROR('Cash Flow Data'!C13,0)</f>
        <v>344</v>
      </c>
      <c r="D85" s="32">
        <f>IFERROR('Cash Flow Data'!D13,0)</f>
        <v>1482</v>
      </c>
      <c r="E85" s="32">
        <f>IFERROR('Cash Flow Data'!E13,0)</f>
        <v>999</v>
      </c>
      <c r="F85" s="32">
        <f>IFERROR('Cash Flow Data'!F13,0)</f>
        <v>849</v>
      </c>
      <c r="G85" s="32">
        <f>IFERROR('Cash Flow Data'!G13,0)</f>
        <v>964</v>
      </c>
      <c r="H85" s="32">
        <f>IFERROR('Cash Flow Data'!H13,0)</f>
        <v>2319</v>
      </c>
      <c r="I85" s="32">
        <f>IFERROR('Cash Flow Data'!I13,0)</f>
        <v>3137</v>
      </c>
      <c r="J85" s="32">
        <f>IFERROR('Cash Flow Data'!J13,0)</f>
        <v>9186</v>
      </c>
      <c r="K85" s="32">
        <f>IFERROR('Cash Flow Data'!K13,0)</f>
        <v>15307</v>
      </c>
      <c r="L85" s="32">
        <f>IFERROR('Cash Flow Data'!L13,0)</f>
        <v>2343</v>
      </c>
    </row>
    <row r="86" spans="2:12" hidden="1" outlineLevel="1" x14ac:dyDescent="0.25">
      <c r="B86" s="31" t="s">
        <v>93</v>
      </c>
      <c r="C86" s="32">
        <f>IFERROR('Cash Flow Data'!C14,0)</f>
        <v>-715334</v>
      </c>
      <c r="D86" s="32">
        <f>IFERROR('Cash Flow Data'!D14,0)</f>
        <v>-654760</v>
      </c>
      <c r="E86" s="32">
        <f>IFERROR('Cash Flow Data'!E14,0)</f>
        <v>-533984</v>
      </c>
      <c r="F86" s="32">
        <f>IFERROR('Cash Flow Data'!F14,0)</f>
        <v>-1107439</v>
      </c>
      <c r="G86" s="32">
        <f>IFERROR('Cash Flow Data'!G14,0)</f>
        <v>-1156843</v>
      </c>
      <c r="H86" s="32">
        <f>IFERROR('Cash Flow Data'!H14,0)</f>
        <v>-689866</v>
      </c>
      <c r="I86" s="32">
        <f>IFERROR('Cash Flow Data'!I14,0)</f>
        <v>-667878</v>
      </c>
      <c r="J86" s="32">
        <f>IFERROR('Cash Flow Data'!J14,0)</f>
        <v>-471822</v>
      </c>
      <c r="K86" s="32">
        <f>IFERROR('Cash Flow Data'!K14,0)</f>
        <v>-513660</v>
      </c>
      <c r="L86" s="32">
        <f>IFERROR('Cash Flow Data'!L14,0)</f>
        <v>-684340</v>
      </c>
    </row>
    <row r="87" spans="2:12" hidden="1" outlineLevel="1" x14ac:dyDescent="0.25">
      <c r="B87" s="31" t="s">
        <v>94</v>
      </c>
      <c r="C87" s="32">
        <f>IFERROR('Cash Flow Data'!C15,0)</f>
        <v>721182</v>
      </c>
      <c r="D87" s="32">
        <f>IFERROR('Cash Flow Data'!D15,0)</f>
        <v>663990</v>
      </c>
      <c r="E87" s="32">
        <f>IFERROR('Cash Flow Data'!E15,0)</f>
        <v>537504</v>
      </c>
      <c r="F87" s="32">
        <f>IFERROR('Cash Flow Data'!F15,0)</f>
        <v>1103615</v>
      </c>
      <c r="G87" s="32">
        <f>IFERROR('Cash Flow Data'!G15,0)</f>
        <v>1174796</v>
      </c>
      <c r="H87" s="32">
        <f>IFERROR('Cash Flow Data'!H15,0)</f>
        <v>642551</v>
      </c>
      <c r="I87" s="32">
        <f>IFERROR('Cash Flow Data'!I15,0)</f>
        <v>668137</v>
      </c>
      <c r="J87" s="32">
        <f>IFERROR('Cash Flow Data'!J15,0)</f>
        <v>501266</v>
      </c>
      <c r="K87" s="32">
        <f>IFERROR('Cash Flow Data'!K15,0)</f>
        <v>531355</v>
      </c>
      <c r="L87" s="32">
        <f>IFERROR('Cash Flow Data'!L15,0)</f>
        <v>672558</v>
      </c>
    </row>
    <row r="88" spans="2:12" hidden="1" outlineLevel="1" x14ac:dyDescent="0.25">
      <c r="B88" s="31" t="s">
        <v>95</v>
      </c>
      <c r="C88" s="32">
        <f>IFERROR('Cash Flow Data'!C16,0)</f>
        <v>2942</v>
      </c>
      <c r="D88" s="32">
        <f>IFERROR('Cash Flow Data'!D16,0)</f>
        <v>1110</v>
      </c>
      <c r="E88" s="32">
        <f>IFERROR('Cash Flow Data'!E16,0)</f>
        <v>1310</v>
      </c>
      <c r="F88" s="32">
        <f>IFERROR('Cash Flow Data'!F16,0)</f>
        <v>972</v>
      </c>
      <c r="G88" s="32">
        <f>IFERROR('Cash Flow Data'!G16,0)</f>
        <v>1441</v>
      </c>
      <c r="H88" s="32">
        <f>IFERROR('Cash Flow Data'!H16,0)</f>
        <v>8400</v>
      </c>
      <c r="I88" s="32">
        <f>IFERROR('Cash Flow Data'!I16,0)</f>
        <v>5933</v>
      </c>
      <c r="J88" s="32">
        <f>IFERROR('Cash Flow Data'!J16,0)</f>
        <v>11103</v>
      </c>
      <c r="K88" s="32">
        <f>IFERROR('Cash Flow Data'!K16,0)</f>
        <v>10648</v>
      </c>
      <c r="L88" s="32">
        <f>IFERROR('Cash Flow Data'!L16,0)</f>
        <v>15833</v>
      </c>
    </row>
    <row r="89" spans="2:12" hidden="1" outlineLevel="1" x14ac:dyDescent="0.25">
      <c r="B89" s="31" t="s">
        <v>96</v>
      </c>
      <c r="C89" s="32">
        <f>IFERROR('Cash Flow Data'!C17,0)</f>
        <v>732</v>
      </c>
      <c r="D89" s="32">
        <f>IFERROR('Cash Flow Data'!D17,0)</f>
        <v>345</v>
      </c>
      <c r="E89" s="32">
        <f>IFERROR('Cash Flow Data'!E17,0)</f>
        <v>1021</v>
      </c>
      <c r="F89" s="32">
        <f>IFERROR('Cash Flow Data'!F17,0)</f>
        <v>501</v>
      </c>
      <c r="G89" s="32">
        <f>IFERROR('Cash Flow Data'!G17,0)</f>
        <v>78</v>
      </c>
      <c r="H89" s="32">
        <f>IFERROR('Cash Flow Data'!H17,0)</f>
        <v>26</v>
      </c>
      <c r="I89" s="32">
        <f>IFERROR('Cash Flow Data'!I17,0)</f>
        <v>19</v>
      </c>
      <c r="J89" s="32">
        <f>IFERROR('Cash Flow Data'!J17,0)</f>
        <v>20</v>
      </c>
      <c r="K89" s="32">
        <f>IFERROR('Cash Flow Data'!K17,0)</f>
        <v>75</v>
      </c>
      <c r="L89" s="32">
        <f>IFERROR('Cash Flow Data'!L17,0)</f>
        <v>612</v>
      </c>
    </row>
    <row r="90" spans="2:12" hidden="1" outlineLevel="1" x14ac:dyDescent="0.25">
      <c r="B90" s="31" t="s">
        <v>97</v>
      </c>
      <c r="C90" s="32">
        <f>IFERROR('Cash Flow Data'!C18,0)</f>
        <v>846</v>
      </c>
      <c r="D90" s="32">
        <f>IFERROR('Cash Flow Data'!D18,0)</f>
        <v>-259</v>
      </c>
      <c r="E90" s="32">
        <f>IFERROR('Cash Flow Data'!E18,0)</f>
        <v>-1089</v>
      </c>
      <c r="F90" s="32">
        <f>IFERROR('Cash Flow Data'!F18,0)</f>
        <v>621</v>
      </c>
      <c r="G90" s="32">
        <f>IFERROR('Cash Flow Data'!G18,0)</f>
        <v>-16416</v>
      </c>
      <c r="H90" s="32">
        <f>IFERROR('Cash Flow Data'!H18,0)</f>
        <v>22</v>
      </c>
      <c r="I90" s="32">
        <f>IFERROR('Cash Flow Data'!I18,0)</f>
        <v>-18365</v>
      </c>
      <c r="J90" s="32">
        <f>IFERROR('Cash Flow Data'!J18,0)</f>
        <v>-1766</v>
      </c>
      <c r="K90" s="32">
        <f>IFERROR('Cash Flow Data'!K18,0)</f>
        <v>-4423</v>
      </c>
      <c r="L90" s="32">
        <f>IFERROR('Cash Flow Data'!L18,0)</f>
        <v>-4574</v>
      </c>
    </row>
    <row r="91" spans="2:12" hidden="1" outlineLevel="1" x14ac:dyDescent="0.25">
      <c r="B91" s="35" t="s">
        <v>112</v>
      </c>
      <c r="C91" s="58">
        <f>SUM(C84:C90)</f>
        <v>-36186</v>
      </c>
      <c r="D91" s="58">
        <f t="shared" ref="D91:L91" si="22">SUM(D84:D90)</f>
        <v>-66201</v>
      </c>
      <c r="E91" s="58">
        <f t="shared" si="22"/>
        <v>-68192</v>
      </c>
      <c r="F91" s="58">
        <f t="shared" si="22"/>
        <v>-94507</v>
      </c>
      <c r="G91" s="58">
        <f t="shared" si="22"/>
        <v>-72497</v>
      </c>
      <c r="H91" s="58">
        <f t="shared" si="22"/>
        <v>-142385</v>
      </c>
      <c r="I91" s="58">
        <f t="shared" si="22"/>
        <v>-109162</v>
      </c>
      <c r="J91" s="58">
        <f t="shared" si="22"/>
        <v>-93001</v>
      </c>
      <c r="K91" s="58">
        <f t="shared" si="22"/>
        <v>-113581</v>
      </c>
      <c r="L91" s="58">
        <f t="shared" si="22"/>
        <v>-137535</v>
      </c>
    </row>
    <row r="92" spans="2:12" hidden="1" outlineLevel="1" x14ac:dyDescent="0.25"/>
    <row r="93" spans="2:12" hidden="1" outlineLevel="1" x14ac:dyDescent="0.25">
      <c r="B93" s="2" t="s">
        <v>113</v>
      </c>
    </row>
    <row r="94" spans="2:12" hidden="1" outlineLevel="1" x14ac:dyDescent="0.25">
      <c r="B94" s="30" t="s">
        <v>98</v>
      </c>
      <c r="C94" s="32">
        <f>IFERROR('Cash Flow Data'!C21,0)</f>
        <v>288</v>
      </c>
      <c r="D94" s="32">
        <f>IFERROR('Cash Flow Data'!D21,0)</f>
        <v>811</v>
      </c>
      <c r="E94" s="32">
        <f>IFERROR('Cash Flow Data'!E21,0)</f>
        <v>406</v>
      </c>
      <c r="F94" s="32">
        <f>IFERROR('Cash Flow Data'!F21,0)</f>
        <v>230</v>
      </c>
      <c r="G94" s="32">
        <f>IFERROR('Cash Flow Data'!G21,0)</f>
        <v>129</v>
      </c>
      <c r="H94" s="32">
        <f>IFERROR('Cash Flow Data'!H21,0)</f>
        <v>5</v>
      </c>
      <c r="I94" s="32">
        <f>IFERROR('Cash Flow Data'!I21,0)</f>
        <v>455</v>
      </c>
      <c r="J94" s="32">
        <f>IFERROR('Cash Flow Data'!J21,0)</f>
        <v>479</v>
      </c>
      <c r="K94" s="32">
        <f>IFERROR('Cash Flow Data'!K21,0)</f>
        <v>20915</v>
      </c>
      <c r="L94" s="32">
        <f>IFERROR('Cash Flow Data'!L21,0)</f>
        <v>0</v>
      </c>
    </row>
    <row r="95" spans="2:12" hidden="1" outlineLevel="1" x14ac:dyDescent="0.25">
      <c r="B95" s="30" t="s">
        <v>99</v>
      </c>
      <c r="C95" s="32">
        <f>IFERROR('Cash Flow Data'!C22,0)</f>
        <v>34673</v>
      </c>
      <c r="D95" s="32">
        <f>IFERROR('Cash Flow Data'!D22,0)</f>
        <v>31728</v>
      </c>
      <c r="E95" s="32">
        <f>IFERROR('Cash Flow Data'!E22,0)</f>
        <v>36970</v>
      </c>
      <c r="F95" s="32">
        <f>IFERROR('Cash Flow Data'!F22,0)</f>
        <v>106701</v>
      </c>
      <c r="G95" s="32">
        <f>IFERROR('Cash Flow Data'!G22,0)</f>
        <v>53760</v>
      </c>
      <c r="H95" s="32">
        <f>IFERROR('Cash Flow Data'!H22,0)</f>
        <v>46421</v>
      </c>
      <c r="I95" s="32">
        <f>IFERROR('Cash Flow Data'!I22,0)</f>
        <v>59343</v>
      </c>
      <c r="J95" s="32">
        <f>IFERROR('Cash Flow Data'!J22,0)</f>
        <v>67134</v>
      </c>
      <c r="K95" s="32">
        <f>IFERROR('Cash Flow Data'!K22,0)</f>
        <v>69610</v>
      </c>
      <c r="L95" s="32">
        <f>IFERROR('Cash Flow Data'!L22,0)</f>
        <v>51002</v>
      </c>
    </row>
    <row r="96" spans="2:12" hidden="1" outlineLevel="1" x14ac:dyDescent="0.25">
      <c r="B96" s="30" t="s">
        <v>100</v>
      </c>
      <c r="C96" s="32">
        <f>IFERROR('Cash Flow Data'!C23,0)</f>
        <v>-21693</v>
      </c>
      <c r="D96" s="32">
        <f>IFERROR('Cash Flow Data'!D23,0)</f>
        <v>-18542</v>
      </c>
      <c r="E96" s="32">
        <f>IFERROR('Cash Flow Data'!E23,0)</f>
        <v>-19813</v>
      </c>
      <c r="F96" s="32">
        <f>IFERROR('Cash Flow Data'!F23,0)</f>
        <v>-20245</v>
      </c>
      <c r="G96" s="32">
        <f>IFERROR('Cash Flow Data'!G23,0)</f>
        <v>-18179</v>
      </c>
      <c r="H96" s="32">
        <f>IFERROR('Cash Flow Data'!H23,0)</f>
        <v>-116921</v>
      </c>
      <c r="I96" s="32">
        <f>IFERROR('Cash Flow Data'!I23,0)</f>
        <v>-49493</v>
      </c>
      <c r="J96" s="32">
        <f>IFERROR('Cash Flow Data'!J23,0)</f>
        <v>-29059</v>
      </c>
      <c r="K96" s="32">
        <f>IFERROR('Cash Flow Data'!K23,0)</f>
        <v>-60348</v>
      </c>
      <c r="L96" s="32">
        <f>IFERROR('Cash Flow Data'!L23,0)</f>
        <v>-31755</v>
      </c>
    </row>
    <row r="97" spans="2:12" hidden="1" outlineLevel="1" x14ac:dyDescent="0.25">
      <c r="B97" s="30" t="s">
        <v>101</v>
      </c>
      <c r="C97" s="32">
        <f>IFERROR('Cash Flow Data'!C24,0)</f>
        <v>-9224</v>
      </c>
      <c r="D97" s="32">
        <f>IFERROR('Cash Flow Data'!D24,0)</f>
        <v>-12920</v>
      </c>
      <c r="E97" s="32">
        <f>IFERROR('Cash Flow Data'!E24,0)</f>
        <v>-17669</v>
      </c>
      <c r="F97" s="32">
        <f>IFERROR('Cash Flow Data'!F24,0)</f>
        <v>-23338</v>
      </c>
      <c r="G97" s="32">
        <f>IFERROR('Cash Flow Data'!G24,0)</f>
        <v>-28508</v>
      </c>
      <c r="H97" s="32">
        <f>IFERROR('Cash Flow Data'!H24,0)</f>
        <v>-18340</v>
      </c>
      <c r="I97" s="32">
        <f>IFERROR('Cash Flow Data'!I24,0)</f>
        <v>-26349</v>
      </c>
      <c r="J97" s="32">
        <f>IFERROR('Cash Flow Data'!J24,0)</f>
        <v>-21650</v>
      </c>
      <c r="K97" s="32">
        <f>IFERROR('Cash Flow Data'!K24,0)</f>
        <v>-37173</v>
      </c>
      <c r="L97" s="32">
        <f>IFERROR('Cash Flow Data'!L24,0)</f>
        <v>-41024</v>
      </c>
    </row>
    <row r="98" spans="2:12" hidden="1" outlineLevel="1" x14ac:dyDescent="0.25">
      <c r="B98" s="30" t="s">
        <v>102</v>
      </c>
      <c r="C98" s="32">
        <f>IFERROR('Cash Flow Data'!C25,0)</f>
        <v>-7259</v>
      </c>
      <c r="D98" s="32">
        <f>IFERROR('Cash Flow Data'!D25,0)</f>
        <v>-53</v>
      </c>
      <c r="E98" s="32">
        <f>IFERROR('Cash Flow Data'!E25,0)</f>
        <v>-3916</v>
      </c>
      <c r="F98" s="32">
        <f>IFERROR('Cash Flow Data'!F25,0)</f>
        <v>-4282</v>
      </c>
      <c r="G98" s="32">
        <f>IFERROR('Cash Flow Data'!G25,0)</f>
        <v>-4592</v>
      </c>
      <c r="H98" s="32">
        <f>IFERROR('Cash Flow Data'!H25,0)</f>
        <v>-3921</v>
      </c>
      <c r="I98" s="32">
        <f>IFERROR('Cash Flow Data'!I25,0)</f>
        <v>-4297</v>
      </c>
      <c r="J98" s="32">
        <f>IFERROR('Cash Flow Data'!J25,0)</f>
        <v>-5083</v>
      </c>
      <c r="K98" s="32">
        <f>IFERROR('Cash Flow Data'!K25,0)</f>
        <v>-6089</v>
      </c>
      <c r="L98" s="32">
        <f>IFERROR('Cash Flow Data'!L25,0)</f>
        <v>-7180</v>
      </c>
    </row>
    <row r="99" spans="2:12" hidden="1" outlineLevel="1" x14ac:dyDescent="0.25">
      <c r="B99" s="30" t="s">
        <v>103</v>
      </c>
      <c r="C99" s="32">
        <f>IFERROR('Cash Flow Data'!C26,0)</f>
        <v>0</v>
      </c>
      <c r="D99" s="32">
        <f>IFERROR('Cash Flow Data'!D26,0)</f>
        <v>0</v>
      </c>
      <c r="E99" s="32">
        <f>IFERROR('Cash Flow Data'!E26,0)</f>
        <v>0</v>
      </c>
      <c r="F99" s="32">
        <f>IFERROR('Cash Flow Data'!F26,0)</f>
        <v>0</v>
      </c>
      <c r="G99" s="32">
        <f>IFERROR('Cash Flow Data'!G26,0)</f>
        <v>-1062</v>
      </c>
      <c r="H99" s="32">
        <f>IFERROR('Cash Flow Data'!H26,0)</f>
        <v>-1022</v>
      </c>
      <c r="I99" s="32">
        <f>IFERROR('Cash Flow Data'!I26,0)</f>
        <v>-2132</v>
      </c>
      <c r="J99" s="32">
        <f>IFERROR('Cash Flow Data'!J26,0)</f>
        <v>-1406</v>
      </c>
      <c r="K99" s="32">
        <f>IFERROR('Cash Flow Data'!K26,0)</f>
        <v>-2483</v>
      </c>
      <c r="L99" s="32">
        <f>IFERROR('Cash Flow Data'!L26,0)</f>
        <v>-2956</v>
      </c>
    </row>
    <row r="100" spans="2:12" hidden="1" outlineLevel="1" x14ac:dyDescent="0.25">
      <c r="B100" s="30" t="s">
        <v>104</v>
      </c>
      <c r="C100" s="32">
        <f>IFERROR('Cash Flow Data'!C27,0)</f>
        <v>8</v>
      </c>
      <c r="D100" s="32">
        <f>IFERROR('Cash Flow Data'!D27,0)</f>
        <v>4</v>
      </c>
      <c r="E100" s="32">
        <f>IFERROR('Cash Flow Data'!E27,0)</f>
        <v>15</v>
      </c>
      <c r="F100" s="32">
        <f>IFERROR('Cash Flow Data'!F27,0)</f>
        <v>2</v>
      </c>
      <c r="G100" s="32">
        <f>IFERROR('Cash Flow Data'!G27,0)</f>
        <v>1</v>
      </c>
      <c r="H100" s="32">
        <f>IFERROR('Cash Flow Data'!H27,0)</f>
        <v>0</v>
      </c>
      <c r="I100" s="32">
        <f>IFERROR('Cash Flow Data'!I27,0)</f>
        <v>0</v>
      </c>
      <c r="J100" s="32">
        <f>IFERROR('Cash Flow Data'!J27,0)</f>
        <v>0</v>
      </c>
      <c r="K100" s="32">
        <f>IFERROR('Cash Flow Data'!K27,0)</f>
        <v>0</v>
      </c>
      <c r="L100" s="32">
        <f>IFERROR('Cash Flow Data'!L27,0)</f>
        <v>0</v>
      </c>
    </row>
    <row r="101" spans="2:12" hidden="1" outlineLevel="1" x14ac:dyDescent="0.25">
      <c r="B101" s="30" t="s">
        <v>105</v>
      </c>
      <c r="C101" s="32">
        <f>IFERROR('Cash Flow Data'!C28,0)</f>
        <v>-3</v>
      </c>
      <c r="D101" s="32">
        <f>IFERROR('Cash Flow Data'!D28,0)</f>
        <v>7589</v>
      </c>
      <c r="E101" s="32">
        <f>IFERROR('Cash Flow Data'!E28,0)</f>
        <v>2006</v>
      </c>
      <c r="F101" s="32">
        <f>IFERROR('Cash Flow Data'!F28,0)</f>
        <v>-3162</v>
      </c>
      <c r="G101" s="32">
        <f>IFERROR('Cash Flow Data'!G28,0)</f>
        <v>-4090</v>
      </c>
      <c r="H101" s="32">
        <f>IFERROR('Cash Flow Data'!H28,0)</f>
        <v>195682</v>
      </c>
      <c r="I101" s="32">
        <f>IFERROR('Cash Flow Data'!I28,0)</f>
        <v>39762</v>
      </c>
      <c r="J101" s="32">
        <f>IFERROR('Cash Flow Data'!J28,0)</f>
        <v>40</v>
      </c>
      <c r="K101" s="32">
        <f>IFERROR('Cash Flow Data'!K28,0)</f>
        <v>-1078</v>
      </c>
      <c r="L101" s="32">
        <f>IFERROR('Cash Flow Data'!L28,0)</f>
        <v>22</v>
      </c>
    </row>
    <row r="102" spans="2:12" hidden="1" outlineLevel="1" x14ac:dyDescent="0.25">
      <c r="B102" s="57" t="s">
        <v>114</v>
      </c>
      <c r="C102" s="58">
        <f>SUM(C94:C101)</f>
        <v>-3210</v>
      </c>
      <c r="D102" s="58">
        <f t="shared" ref="D102:L102" si="23">SUM(D94:D101)</f>
        <v>8617</v>
      </c>
      <c r="E102" s="58">
        <f t="shared" si="23"/>
        <v>-2001</v>
      </c>
      <c r="F102" s="58">
        <f t="shared" si="23"/>
        <v>55906</v>
      </c>
      <c r="G102" s="58">
        <f t="shared" si="23"/>
        <v>-2541</v>
      </c>
      <c r="H102" s="58">
        <f t="shared" si="23"/>
        <v>101904</v>
      </c>
      <c r="I102" s="58">
        <f t="shared" si="23"/>
        <v>17289</v>
      </c>
      <c r="J102" s="58">
        <f t="shared" si="23"/>
        <v>10455</v>
      </c>
      <c r="K102" s="58">
        <f t="shared" si="23"/>
        <v>-16646</v>
      </c>
      <c r="L102" s="58">
        <f t="shared" si="23"/>
        <v>-31891</v>
      </c>
    </row>
    <row r="103" spans="2:12" hidden="1" outlineLevel="1" x14ac:dyDescent="0.25"/>
    <row r="104" spans="2:12" hidden="1" outlineLevel="1" x14ac:dyDescent="0.25">
      <c r="B104" s="58" t="s">
        <v>21</v>
      </c>
      <c r="C104" s="58">
        <f>IFERROR(SUM(C81,C91,C102),0)</f>
        <v>6567</v>
      </c>
      <c r="D104" s="58">
        <f t="shared" ref="D104:L104" si="24">IFERROR(SUM(D81,D91,D102),0)</f>
        <v>7429</v>
      </c>
      <c r="E104" s="58">
        <f t="shared" si="24"/>
        <v>19804</v>
      </c>
      <c r="F104" s="58">
        <f t="shared" si="24"/>
        <v>-25037</v>
      </c>
      <c r="G104" s="58">
        <f t="shared" si="24"/>
        <v>37755</v>
      </c>
      <c r="H104" s="58">
        <f t="shared" si="24"/>
        <v>-63481</v>
      </c>
      <c r="I104" s="58">
        <f t="shared" si="24"/>
        <v>19506</v>
      </c>
      <c r="J104" s="58">
        <f t="shared" si="24"/>
        <v>12852</v>
      </c>
      <c r="K104" s="58">
        <f t="shared" si="24"/>
        <v>34927</v>
      </c>
      <c r="L104" s="58">
        <f t="shared" si="24"/>
        <v>33001</v>
      </c>
    </row>
    <row r="105" spans="2:12" collapsed="1" x14ac:dyDescent="0.25"/>
  </sheetData>
  <mergeCells count="1">
    <mergeCell ref="B2:M2"/>
  </mergeCells>
  <conditionalFormatting sqref="C70:M70">
    <cfRule type="containsText" dxfId="1" priority="1" operator="containsText" text="True">
      <formula>NOT(ISERROR(SEARCH("True",C70)))</formula>
    </cfRule>
  </conditionalFormatting>
  <pageMargins left="0.7" right="0.7" top="0.75" bottom="0.75" header="0.3" footer="0.3"/>
  <ignoredErrors>
    <ignoredError sqref="M10 C16:D16 M6 L16 M22 M27 M3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4153-AACD-49FC-A3F0-A4A4E1C518CC}">
  <dimension ref="B2:L40"/>
  <sheetViews>
    <sheetView showGridLines="0" workbookViewId="0">
      <selection sqref="A1:A1048576"/>
    </sheetView>
  </sheetViews>
  <sheetFormatPr defaultRowHeight="15" x14ac:dyDescent="0.25"/>
  <cols>
    <col min="1" max="1" width="2.28515625" customWidth="1"/>
    <col min="2" max="2" width="23.7109375" bestFit="1" customWidth="1"/>
    <col min="3" max="6" width="13.28515625" bestFit="1" customWidth="1"/>
    <col min="7" max="11" width="14.28515625" bestFit="1" customWidth="1"/>
    <col min="12" max="12" width="13.7109375" bestFit="1" customWidth="1"/>
  </cols>
  <sheetData>
    <row r="2" spans="2:12" x14ac:dyDescent="0.25">
      <c r="B2" s="173" t="str">
        <f>"Common Size Income Statement"&amp;""&amp;"-"&amp;'Data Sheet'!B1</f>
        <v>Common Size Income Statement-RELIANCE INDUSTRIES LTD</v>
      </c>
      <c r="C2" s="173"/>
      <c r="D2" s="173"/>
      <c r="E2" s="173"/>
      <c r="F2" s="173"/>
      <c r="G2" s="173"/>
      <c r="H2" s="173"/>
      <c r="I2" s="173"/>
      <c r="J2" s="173"/>
      <c r="K2" s="173"/>
      <c r="L2" s="173"/>
    </row>
    <row r="4" spans="2:12" x14ac:dyDescent="0.25">
      <c r="B4" s="77" t="s">
        <v>157</v>
      </c>
      <c r="C4" s="78">
        <f>IFERROR('Data Sheet'!B16,0)</f>
        <v>42825</v>
      </c>
      <c r="D4" s="78">
        <f>IFERROR('Data Sheet'!C16,0)</f>
        <v>43190</v>
      </c>
      <c r="E4" s="78">
        <f>IFERROR('Data Sheet'!D16,0)</f>
        <v>43555</v>
      </c>
      <c r="F4" s="78">
        <f>IFERROR('Data Sheet'!E16,0)</f>
        <v>43921</v>
      </c>
      <c r="G4" s="78">
        <f>IFERROR('Data Sheet'!F16,0)</f>
        <v>44286</v>
      </c>
      <c r="H4" s="78">
        <f>IFERROR('Data Sheet'!G16,0)</f>
        <v>44651</v>
      </c>
      <c r="I4" s="78">
        <f>IFERROR('Data Sheet'!H16,0)</f>
        <v>45016</v>
      </c>
      <c r="J4" s="78">
        <f>IFERROR('Data Sheet'!I16,0)</f>
        <v>45382</v>
      </c>
      <c r="K4" s="78">
        <f>IFERROR('Data Sheet'!J16,0)</f>
        <v>45747</v>
      </c>
      <c r="L4" s="78">
        <f>IFERROR('Data Sheet'!K16,0)</f>
        <v>46112</v>
      </c>
    </row>
    <row r="5" spans="2:12" x14ac:dyDescent="0.25">
      <c r="B5" s="4" t="s">
        <v>1</v>
      </c>
      <c r="C5" s="9">
        <f>IFERROR('Data Sheet'!B17/'Data Sheet'!B$17,0)</f>
        <v>1</v>
      </c>
      <c r="D5" s="9">
        <f>IFERROR('Data Sheet'!C17/'Data Sheet'!C$17,0)</f>
        <v>1</v>
      </c>
      <c r="E5" s="9">
        <f>IFERROR('Data Sheet'!D17/'Data Sheet'!D$17,0)</f>
        <v>1</v>
      </c>
      <c r="F5" s="9">
        <f>IFERROR('Data Sheet'!E17/'Data Sheet'!E$17,0)</f>
        <v>1</v>
      </c>
      <c r="G5" s="9">
        <f>IFERROR('Data Sheet'!F17/'Data Sheet'!F$17,0)</f>
        <v>1</v>
      </c>
      <c r="H5" s="9">
        <f>IFERROR('Data Sheet'!G17/'Data Sheet'!G$17,0)</f>
        <v>1</v>
      </c>
      <c r="I5" s="9">
        <f>IFERROR('Data Sheet'!H17/'Data Sheet'!H$17,0)</f>
        <v>1</v>
      </c>
      <c r="J5" s="9">
        <f>IFERROR('Data Sheet'!I17/'Data Sheet'!I$17,0)</f>
        <v>1</v>
      </c>
      <c r="K5" s="9">
        <f>IFERROR('Data Sheet'!J17/'Data Sheet'!J$17,0)</f>
        <v>1</v>
      </c>
      <c r="L5" s="9">
        <f>IFERROR('Data Sheet'!K17/'Data Sheet'!K$17,0)</f>
        <v>1</v>
      </c>
    </row>
    <row r="6" spans="2:12" x14ac:dyDescent="0.25">
      <c r="B6" s="3" t="s">
        <v>46</v>
      </c>
      <c r="C6" s="9">
        <f>IFERROR('Data Sheet'!B18/'Data Sheet'!B$17,0)</f>
        <v>0.71562802266132375</v>
      </c>
      <c r="D6" s="9">
        <f>IFERROR('Data Sheet'!C18/'Data Sheet'!C$17,0)</f>
        <v>0.70639650174119739</v>
      </c>
      <c r="E6" s="9">
        <f>IFERROR('Data Sheet'!D18/'Data Sheet'!D$17,0)</f>
        <v>0.70234209632665123</v>
      </c>
      <c r="F6" s="9">
        <f>IFERROR('Data Sheet'!E18/'Data Sheet'!E$17,0)</f>
        <v>0.68761930619311218</v>
      </c>
      <c r="G6" s="9">
        <f>IFERROR('Data Sheet'!F18/'Data Sheet'!F$17,0)</f>
        <v>0.64713804424981825</v>
      </c>
      <c r="H6" s="9">
        <f>IFERROR('Data Sheet'!G18/'Data Sheet'!G$17,0)</f>
        <v>0.71177230150013027</v>
      </c>
      <c r="I6" s="9">
        <f>IFERROR('Data Sheet'!H18/'Data Sheet'!H$17,0)</f>
        <v>0.70601189416656396</v>
      </c>
      <c r="J6" s="9">
        <f>IFERROR('Data Sheet'!I18/'Data Sheet'!I$17,0)</f>
        <v>0.65650621050652858</v>
      </c>
      <c r="K6" s="9">
        <f>IFERROR('Data Sheet'!J18/'Data Sheet'!J$17,0)</f>
        <v>0.66971292661141235</v>
      </c>
      <c r="L6" s="9">
        <f>IFERROR('Data Sheet'!K18/'Data Sheet'!K$17,0)</f>
        <v>0.66110238276080924</v>
      </c>
    </row>
    <row r="7" spans="2:12" x14ac:dyDescent="0.25">
      <c r="B7" s="3" t="s">
        <v>47</v>
      </c>
      <c r="C7" s="9">
        <f>IFERROR('Data Sheet'!B19/'Data Sheet'!B$17,0)</f>
        <v>1.7167071333162254E-2</v>
      </c>
      <c r="D7" s="9">
        <f>IFERROR('Data Sheet'!C19/'Data Sheet'!C$17,0)</f>
        <v>2.203043321401248E-2</v>
      </c>
      <c r="E7" s="9">
        <f>IFERROR('Data Sheet'!D19/'Data Sheet'!D$17,0)</f>
        <v>8.2345509794364957E-3</v>
      </c>
      <c r="F7" s="9">
        <f>IFERROR('Data Sheet'!E19/'Data Sheet'!E$17,0)</f>
        <v>8.4601603207084541E-3</v>
      </c>
      <c r="G7" s="9">
        <f>IFERROR('Data Sheet'!F19/'Data Sheet'!F$17,0)</f>
        <v>1.9437838162412315E-2</v>
      </c>
      <c r="H7" s="9">
        <f>IFERROR('Data Sheet'!G19/'Data Sheet'!G$17,0)</f>
        <v>3.0887914169688471E-2</v>
      </c>
      <c r="I7" s="9">
        <f>IFERROR('Data Sheet'!H19/'Data Sheet'!H$17,0)</f>
        <v>3.4531193661312923E-2</v>
      </c>
      <c r="J7" s="9">
        <f>IFERROR('Data Sheet'!I19/'Data Sheet'!I$17,0)</f>
        <v>5.43134295321348E-3</v>
      </c>
      <c r="K7" s="9">
        <f>IFERROR('Data Sheet'!J19/'Data Sheet'!J$17,0)</f>
        <v>1.5708024345152779E-2</v>
      </c>
      <c r="L7" s="9">
        <f>IFERROR('Data Sheet'!K19/'Data Sheet'!K$17,0)</f>
        <v>9.7113275489751887E-3</v>
      </c>
    </row>
    <row r="8" spans="2:12" x14ac:dyDescent="0.25">
      <c r="B8" s="3" t="s">
        <v>48</v>
      </c>
      <c r="C8" s="9">
        <f>IFERROR('Data Sheet'!B20/'Data Sheet'!B$17,0)</f>
        <v>3.70154694460346E-2</v>
      </c>
      <c r="D8" s="9">
        <f>IFERROR('Data Sheet'!C20/'Data Sheet'!C$17,0)</f>
        <v>3.7277744656788368E-2</v>
      </c>
      <c r="E8" s="9">
        <f>IFERROR('Data Sheet'!D20/'Data Sheet'!D$17,0)</f>
        <v>2.9962856544620532E-2</v>
      </c>
      <c r="F8" s="9">
        <f>IFERROR('Data Sheet'!E20/'Data Sheet'!E$17,0)</f>
        <v>2.5303387583608606E-2</v>
      </c>
      <c r="G8" s="9">
        <f>IFERROR('Data Sheet'!F20/'Data Sheet'!F$17,0)</f>
        <v>2.8337554443746287E-2</v>
      </c>
      <c r="H8" s="9">
        <f>IFERROR('Data Sheet'!G20/'Data Sheet'!G$17,0)</f>
        <v>2.57703984464633E-2</v>
      </c>
      <c r="I8" s="9">
        <f>IFERROR('Data Sheet'!H20/'Data Sheet'!H$17,0)</f>
        <v>2.8596661783029588E-2</v>
      </c>
      <c r="J8" s="9">
        <f>IFERROR('Data Sheet'!I20/'Data Sheet'!I$17,0)</f>
        <v>2.4622903738539176E-2</v>
      </c>
      <c r="K8" s="9">
        <f>IFERROR('Data Sheet'!J20/'Data Sheet'!J$17,0)</f>
        <v>2.4742942606094599E-2</v>
      </c>
      <c r="L8" s="9">
        <f>IFERROR('Data Sheet'!K20/'Data Sheet'!K$17,0)</f>
        <v>0</v>
      </c>
    </row>
    <row r="9" spans="2:12" x14ac:dyDescent="0.25">
      <c r="B9" s="3" t="s">
        <v>49</v>
      </c>
      <c r="C9" s="9">
        <f>IFERROR('Data Sheet'!B21/'Data Sheet'!B$17,0)</f>
        <v>3.2600327681162278E-2</v>
      </c>
      <c r="D9" s="9">
        <f>IFERROR('Data Sheet'!C21/'Data Sheet'!C$17,0)</f>
        <v>2.4796391205225896E-2</v>
      </c>
      <c r="E9" s="9">
        <f>IFERROR('Data Sheet'!D21/'Data Sheet'!D$17,0)</f>
        <v>2.1462618129736405E-2</v>
      </c>
      <c r="F9" s="9">
        <f>IFERROR('Data Sheet'!E21/'Data Sheet'!E$17,0)</f>
        <v>1.9162732390447794E-2</v>
      </c>
      <c r="G9" s="9">
        <f>IFERROR('Data Sheet'!F21/'Data Sheet'!F$17,0)</f>
        <v>1.6484847964967287E-2</v>
      </c>
      <c r="H9" s="9">
        <f>IFERROR('Data Sheet'!G21/'Data Sheet'!G$17,0)</f>
        <v>1.7524792240377847E-2</v>
      </c>
      <c r="I9" s="9">
        <f>IFERROR('Data Sheet'!H21/'Data Sheet'!H$17,0)</f>
        <v>2.2430499454584456E-2</v>
      </c>
      <c r="J9" s="9">
        <f>IFERROR('Data Sheet'!I21/'Data Sheet'!I$17,0)</f>
        <v>2.0328327629107017E-2</v>
      </c>
      <c r="K9" s="9">
        <f>IFERROR('Data Sheet'!J21/'Data Sheet'!J$17,0)</f>
        <v>1.9066907625516712E-2</v>
      </c>
      <c r="L9" s="9">
        <f>IFERROR('Data Sheet'!K21/'Data Sheet'!K$17,0)</f>
        <v>0</v>
      </c>
    </row>
    <row r="10" spans="2:12" x14ac:dyDescent="0.25">
      <c r="B10" s="3" t="s">
        <v>50</v>
      </c>
      <c r="C10" s="9">
        <f>IFERROR('Data Sheet'!B22/'Data Sheet'!B$17,0)</f>
        <v>2.7596281016206401E-2</v>
      </c>
      <c r="D10" s="9">
        <f>IFERROR('Data Sheet'!C22/'Data Sheet'!C$17,0)</f>
        <v>2.4366529093732967E-2</v>
      </c>
      <c r="E10" s="9">
        <f>IFERROR('Data Sheet'!D22/'Data Sheet'!D$17,0)</f>
        <v>2.1972878767351062E-2</v>
      </c>
      <c r="F10" s="9">
        <f>IFERROR('Data Sheet'!E22/'Data Sheet'!E$17,0)</f>
        <v>2.3588897883116383E-2</v>
      </c>
      <c r="G10" s="9">
        <f>IFERROR('Data Sheet'!F22/'Data Sheet'!F$17,0)</f>
        <v>3.1775203889283239E-2</v>
      </c>
      <c r="H10" s="9">
        <f>IFERROR('Data Sheet'!G22/'Data Sheet'!G$17,0)</f>
        <v>2.7002632893462105E-2</v>
      </c>
      <c r="I10" s="9">
        <f>IFERROR('Data Sheet'!H22/'Data Sheet'!H$17,0)</f>
        <v>2.8379864809971747E-2</v>
      </c>
      <c r="J10" s="9">
        <f>IFERROR('Data Sheet'!I22/'Data Sheet'!I$17,0)</f>
        <v>2.8562657320411418E-2</v>
      </c>
      <c r="K10" s="9">
        <f>IFERROR('Data Sheet'!J22/'Data Sheet'!J$17,0)</f>
        <v>2.9661826717351115E-2</v>
      </c>
      <c r="L10" s="9">
        <f>IFERROR('Data Sheet'!K22/'Data Sheet'!K$17,0)</f>
        <v>2.8677123661228186E-2</v>
      </c>
    </row>
    <row r="11" spans="2:12" x14ac:dyDescent="0.25">
      <c r="B11" s="3" t="s">
        <v>51</v>
      </c>
      <c r="C11" s="9">
        <f>IFERROR('Data Sheet'!B23/'Data Sheet'!B$17,0)</f>
        <v>6.0930272343841504E-2</v>
      </c>
      <c r="D11" s="9">
        <f>IFERROR('Data Sheet'!C23/'Data Sheet'!C$17,0)</f>
        <v>7.4486404331372519E-2</v>
      </c>
      <c r="E11" s="9">
        <f>IFERROR('Data Sheet'!D23/'Data Sheet'!D$17,0)</f>
        <v>8.8364825798777843E-2</v>
      </c>
      <c r="F11" s="9">
        <f>IFERROR('Data Sheet'!E23/'Data Sheet'!E$17,0)</f>
        <v>0.1049509032494859</v>
      </c>
      <c r="G11" s="9">
        <f>IFERROR('Data Sheet'!F23/'Data Sheet'!F$17,0)</f>
        <v>0.12042281158121151</v>
      </c>
      <c r="H11" s="9">
        <f>IFERROR('Data Sheet'!G23/'Data Sheet'!G$17,0)</f>
        <v>9.1428629009620357E-2</v>
      </c>
      <c r="I11" s="9">
        <f>IFERROR('Data Sheet'!H23/'Data Sheet'!H$17,0)</f>
        <v>7.6870501462809049E-2</v>
      </c>
      <c r="J11" s="9">
        <f>IFERROR('Data Sheet'!I23/'Data Sheet'!I$17,0)</f>
        <v>8.5971607524017252E-2</v>
      </c>
      <c r="K11" s="9">
        <f>IFERROR('Data Sheet'!J23/'Data Sheet'!J$17,0)</f>
        <v>9.2187532456741661E-2</v>
      </c>
      <c r="L11" s="9">
        <f>IFERROR('Data Sheet'!K23/'Data Sheet'!K$17,0)</f>
        <v>0</v>
      </c>
    </row>
    <row r="12" spans="2:12" x14ac:dyDescent="0.25">
      <c r="B12" s="3" t="s">
        <v>52</v>
      </c>
      <c r="C12" s="9">
        <f>IFERROR('Data Sheet'!B24/'Data Sheet'!B$17,0)</f>
        <v>-8.9520124755719608E-3</v>
      </c>
      <c r="D12" s="9">
        <f>IFERROR('Data Sheet'!C24/'Data Sheet'!C$17,0)</f>
        <v>-9.8561241278020996E-3</v>
      </c>
      <c r="E12" s="9">
        <f>IFERROR('Data Sheet'!D24/'Data Sheet'!D$17,0)</f>
        <v>-4.1102374119580459E-3</v>
      </c>
      <c r="F12" s="9">
        <f>IFERROR('Data Sheet'!E24/'Data Sheet'!E$17,0)</f>
        <v>-1.7697958198629414E-3</v>
      </c>
      <c r="G12" s="9">
        <f>IFERROR('Data Sheet'!F24/'Data Sheet'!F$17,0)</f>
        <v>2.0244173902600649E-3</v>
      </c>
      <c r="H12" s="9">
        <f>IFERROR('Data Sheet'!G24/'Data Sheet'!G$17,0)</f>
        <v>1.0839632460164712E-3</v>
      </c>
      <c r="I12" s="9">
        <f>IFERROR('Data Sheet'!H24/'Data Sheet'!H$17,0)</f>
        <v>9.8517108704284373E-3</v>
      </c>
      <c r="J12" s="9">
        <f>IFERROR('Data Sheet'!I24/'Data Sheet'!I$17,0)</f>
        <v>8.6937080733804125E-3</v>
      </c>
      <c r="K12" s="9">
        <f>IFERROR('Data Sheet'!J24/'Data Sheet'!J$17,0)</f>
        <v>8.3432001827963686E-3</v>
      </c>
      <c r="L12" s="9">
        <f>IFERROR('Data Sheet'!K24/'Data Sheet'!K$17,0)</f>
        <v>0.15066793162060085</v>
      </c>
    </row>
    <row r="13" spans="2:12" x14ac:dyDescent="0.25">
      <c r="B13" s="4" t="s">
        <v>4</v>
      </c>
      <c r="C13" s="9">
        <f>IFERROR('Data Sheet'!B25/'Data Sheet'!B$17,0)</f>
        <v>3.0340117254584575E-2</v>
      </c>
      <c r="D13" s="9">
        <f>IFERROR('Data Sheet'!C25/'Data Sheet'!C$17,0)</f>
        <v>2.5251840347164829E-2</v>
      </c>
      <c r="E13" s="9">
        <f>IFERROR('Data Sheet'!D25/'Data Sheet'!D$17,0)</f>
        <v>1.4790520413064783E-2</v>
      </c>
      <c r="F13" s="9">
        <f>IFERROR('Data Sheet'!E25/'Data Sheet'!E$17,0)</f>
        <v>1.436283160627406E-2</v>
      </c>
      <c r="G13" s="9">
        <f>IFERROR('Data Sheet'!F25/'Data Sheet'!F$17,0)</f>
        <v>4.8105647138044251E-2</v>
      </c>
      <c r="H13" s="9">
        <f>IFERROR('Data Sheet'!G25/'Data Sheet'!G$17,0)</f>
        <v>2.8214713973337094E-2</v>
      </c>
      <c r="I13" s="9">
        <f>IFERROR('Data Sheet'!H25/'Data Sheet'!H$17,0)</f>
        <v>1.3715261137659232E-2</v>
      </c>
      <c r="J13" s="9">
        <f>IFERROR('Data Sheet'!I25/'Data Sheet'!I$17,0)</f>
        <v>1.7565383558703108E-2</v>
      </c>
      <c r="K13" s="9">
        <f>IFERROR('Data Sheet'!J25/'Data Sheet'!J$17,0)</f>
        <v>1.8512286824120813E-2</v>
      </c>
      <c r="L13" s="9">
        <f>IFERROR('Data Sheet'!K25/'Data Sheet'!K$17,0)</f>
        <v>2.7394513341133672E-2</v>
      </c>
    </row>
    <row r="14" spans="2:12" x14ac:dyDescent="0.25">
      <c r="B14" s="4" t="s">
        <v>5</v>
      </c>
      <c r="C14" s="9">
        <f>IFERROR('Data Sheet'!B26/'Data Sheet'!B$17,0)</f>
        <v>3.8315008192029057E-2</v>
      </c>
      <c r="D14" s="9">
        <f>IFERROR('Data Sheet'!C26/'Data Sheet'!C$17,0)</f>
        <v>4.2745693063100179E-2</v>
      </c>
      <c r="E14" s="9">
        <f>IFERROR('Data Sheet'!D26/'Data Sheet'!D$17,0)</f>
        <v>3.6833779958017863E-2</v>
      </c>
      <c r="F14" s="9">
        <f>IFERROR('Data Sheet'!E26/'Data Sheet'!E$17,0)</f>
        <v>3.721096267842508E-2</v>
      </c>
      <c r="G14" s="9">
        <f>IFERROR('Data Sheet'!F26/'Data Sheet'!F$17,0)</f>
        <v>5.6983918319905125E-2</v>
      </c>
      <c r="H14" s="9">
        <f>IFERROR('Data Sheet'!G26/'Data Sheet'!G$17,0)</f>
        <v>4.2871969977241089E-2</v>
      </c>
      <c r="I14" s="9">
        <f>IFERROR('Data Sheet'!H26/'Data Sheet'!H$17,0)</f>
        <v>4.5987202132369384E-2</v>
      </c>
      <c r="J14" s="9">
        <f>IFERROR('Data Sheet'!I26/'Data Sheet'!I$17,0)</f>
        <v>5.6540246774062587E-2</v>
      </c>
      <c r="K14" s="9">
        <f>IFERROR('Data Sheet'!J26/'Data Sheet'!J$17,0)</f>
        <v>5.5187885586090855E-2</v>
      </c>
      <c r="L14" s="9">
        <f>IFERROR('Data Sheet'!K26/'Data Sheet'!K$17,0)</f>
        <v>5.4565799517413138E-2</v>
      </c>
    </row>
    <row r="15" spans="2:12" x14ac:dyDescent="0.25">
      <c r="B15" s="4" t="s">
        <v>6</v>
      </c>
      <c r="C15" s="9">
        <f>IFERROR('Data Sheet'!B27/'Data Sheet'!B$17,0)</f>
        <v>1.2663100337551077E-2</v>
      </c>
      <c r="D15" s="9">
        <f>IFERROR('Data Sheet'!C27/'Data Sheet'!C$17,0)</f>
        <v>2.0602676915125261E-2</v>
      </c>
      <c r="E15" s="9">
        <f>IFERROR('Data Sheet'!D27/'Data Sheet'!D$17,0)</f>
        <v>2.902327316363355E-2</v>
      </c>
      <c r="F15" s="9">
        <f>IFERROR('Data Sheet'!E27/'Data Sheet'!E$17,0)</f>
        <v>3.6915996708447925E-2</v>
      </c>
      <c r="G15" s="9">
        <f>IFERROR('Data Sheet'!F27/'Data Sheet'!F$17,0)</f>
        <v>4.5440021273538675E-2</v>
      </c>
      <c r="H15" s="9">
        <f>IFERROR('Data Sheet'!G27/'Data Sheet'!G$17,0)</f>
        <v>2.0994050438119805E-2</v>
      </c>
      <c r="I15" s="9">
        <f>IFERROR('Data Sheet'!H27/'Data Sheet'!H$17,0)</f>
        <v>2.2331229261657971E-2</v>
      </c>
      <c r="J15" s="9">
        <f>IFERROR('Data Sheet'!I27/'Data Sheet'!I$17,0)</f>
        <v>2.5714066433010285E-2</v>
      </c>
      <c r="K15" s="9">
        <f>IFERROR('Data Sheet'!J27/'Data Sheet'!J$17,0)</f>
        <v>2.5206165222990799E-2</v>
      </c>
      <c r="L15" s="9">
        <f>IFERROR('Data Sheet'!K27/'Data Sheet'!K$17,0)</f>
        <v>2.5596399610676692E-2</v>
      </c>
    </row>
    <row r="16" spans="2:12" x14ac:dyDescent="0.25">
      <c r="B16" s="4" t="s">
        <v>7</v>
      </c>
      <c r="C16" s="9">
        <f>IFERROR('Data Sheet'!B28/'Data Sheet'!B$17,0)</f>
        <v>0.13171071938517012</v>
      </c>
      <c r="D16" s="9">
        <f>IFERROR('Data Sheet'!C28/'Data Sheet'!C$17,0)</f>
        <v>0.12646645668243681</v>
      </c>
      <c r="E16" s="9">
        <f>IFERROR('Data Sheet'!D28/'Data Sheet'!D$17,0)</f>
        <v>9.7172980115670812E-2</v>
      </c>
      <c r="F16" s="9">
        <f>IFERROR('Data Sheet'!E28/'Data Sheet'!E$17,0)</f>
        <v>8.9840601060201544E-2</v>
      </c>
      <c r="G16" s="9">
        <f>IFERROR('Data Sheet'!F28/'Data Sheet'!F$17,0)</f>
        <v>0.11893666618772611</v>
      </c>
      <c r="H16" s="9">
        <f>IFERROR('Data Sheet'!G28/'Data Sheet'!G$17,0)</f>
        <v>0.12065389039159431</v>
      </c>
      <c r="I16" s="9">
        <f>IFERROR('Data Sheet'!H28/'Data Sheet'!H$17,0)</f>
        <v>0.10778689085755755</v>
      </c>
      <c r="J16" s="9">
        <f>IFERROR('Data Sheet'!I28/'Data Sheet'!I$17,0)</f>
        <v>0.11605699851285982</v>
      </c>
      <c r="K16" s="9">
        <f>IFERROR('Data Sheet'!J28/'Data Sheet'!J$17,0)</f>
        <v>0.11011092416027918</v>
      </c>
      <c r="L16" s="9">
        <f>IFERROR('Data Sheet'!K28/'Data Sheet'!K$17,0)</f>
        <v>0.11649620371938076</v>
      </c>
    </row>
    <row r="17" spans="2:12" x14ac:dyDescent="0.25">
      <c r="B17" s="4" t="s">
        <v>8</v>
      </c>
      <c r="C17" s="9">
        <f>IFERROR('Data Sheet'!B29/'Data Sheet'!B$17,0)</f>
        <v>3.356099936174553E-2</v>
      </c>
      <c r="D17" s="9">
        <f>IFERROR('Data Sheet'!C29/'Data Sheet'!C$17,0)</f>
        <v>3.4148450833241646E-2</v>
      </c>
      <c r="E17" s="9">
        <f>IFERROR('Data Sheet'!D29/'Data Sheet'!D$17,0)</f>
        <v>2.707900418237771E-2</v>
      </c>
      <c r="F17" s="9">
        <f>IFERROR('Data Sheet'!E29/'Data Sheet'!E$17,0)</f>
        <v>2.3003993772195769E-2</v>
      </c>
      <c r="G17" s="9">
        <f>IFERROR('Data Sheet'!F29/'Data Sheet'!F$17,0)</f>
        <v>3.6928461292667705E-3</v>
      </c>
      <c r="H17" s="9">
        <f>IFERROR('Data Sheet'!G29/'Data Sheet'!G$17,0)</f>
        <v>2.2989233783377215E-2</v>
      </c>
      <c r="I17" s="9">
        <f>IFERROR('Data Sheet'!H29/'Data Sheet'!H$17,0)</f>
        <v>2.3249763805403036E-2</v>
      </c>
      <c r="J17" s="9">
        <f>IFERROR('Data Sheet'!I29/'Data Sheet'!I$17,0)</f>
        <v>2.8593801617501316E-2</v>
      </c>
      <c r="K17" s="9">
        <f>IFERROR('Data Sheet'!J29/'Data Sheet'!J$17,0)</f>
        <v>2.6204274942356828E-2</v>
      </c>
      <c r="L17" s="9">
        <f>IFERROR('Data Sheet'!K29/'Data Sheet'!K$17,0)</f>
        <v>2.6060825618911501E-2</v>
      </c>
    </row>
    <row r="18" spans="2:12" x14ac:dyDescent="0.25">
      <c r="B18" s="4" t="s">
        <v>9</v>
      </c>
      <c r="C18" s="9">
        <f>IFERROR('Data Sheet'!B30/'Data Sheet'!B$17,0)</f>
        <v>9.837343808602618E-2</v>
      </c>
      <c r="D18" s="9">
        <f>IFERROR('Data Sheet'!C30/'Data Sheet'!C$17,0)</f>
        <v>9.2305212333972153E-2</v>
      </c>
      <c r="E18" s="9">
        <f>IFERROR('Data Sheet'!D30/'Data Sheet'!D$17,0)</f>
        <v>6.9655855592720514E-2</v>
      </c>
      <c r="F18" s="9">
        <f>IFERROR('Data Sheet'!E30/'Data Sheet'!E$17,0)</f>
        <v>6.5955061264096781E-2</v>
      </c>
      <c r="G18" s="9">
        <f>IFERROR('Data Sheet'!F30/'Data Sheet'!F$17,0)</f>
        <v>0.10535548469141574</v>
      </c>
      <c r="H18" s="9">
        <f>IFERROR('Data Sheet'!G30/'Data Sheet'!G$17,0)</f>
        <v>8.7386439375072872E-2</v>
      </c>
      <c r="I18" s="9">
        <f>IFERROR('Data Sheet'!H30/'Data Sheet'!H$17,0)</f>
        <v>7.6109429983705998E-2</v>
      </c>
      <c r="J18" s="9">
        <f>IFERROR('Data Sheet'!I30/'Data Sheet'!I$17,0)</f>
        <v>7.7439182417709543E-2</v>
      </c>
      <c r="K18" s="9">
        <f>IFERROR('Data Sheet'!J30/'Data Sheet'!J$17,0)</f>
        <v>7.2337508568579803E-2</v>
      </c>
      <c r="L18" s="9">
        <f>IFERROR('Data Sheet'!K30/'Data Sheet'!K$17,0)</f>
        <v>7.6403280682621103E-2</v>
      </c>
    </row>
    <row r="19" spans="2:12" x14ac:dyDescent="0.25">
      <c r="B19" s="4" t="s">
        <v>36</v>
      </c>
      <c r="C19" s="9">
        <f>IFERROR('Data Sheet'!B31/'Data Sheet'!B$17,0)</f>
        <v>1.0708528264145234E-2</v>
      </c>
      <c r="D19" s="9">
        <f>IFERROR('Data Sheet'!C31/'Data Sheet'!C$17,0)</f>
        <v>9.0915836580753948E-3</v>
      </c>
      <c r="E19" s="9">
        <f>IFERROR('Data Sheet'!D31/'Data Sheet'!D$17,0)</f>
        <v>6.7774929311306496E-3</v>
      </c>
      <c r="F19" s="9">
        <f>IFERROR('Data Sheet'!E31/'Data Sheet'!E$17,0)</f>
        <v>6.9054717863373779E-3</v>
      </c>
      <c r="G19" s="9">
        <f>IFERROR('Data Sheet'!F31/'Data Sheet'!F$17,0)</f>
        <v>9.6749566272863151E-3</v>
      </c>
      <c r="H19" s="9">
        <f>IFERROR('Data Sheet'!G31/'Data Sheet'!G$17,0)</f>
        <v>7.7907159195765487E-3</v>
      </c>
      <c r="I19" s="9">
        <f>IFERROR('Data Sheet'!H31/'Data Sheet'!H$17,0)</f>
        <v>6.9482288828337868E-3</v>
      </c>
      <c r="J19" s="9">
        <f>IFERROR('Data Sheet'!I31/'Data Sheet'!I$17,0)</f>
        <v>7.5257969325091961E-3</v>
      </c>
      <c r="K19" s="9">
        <f>IFERROR('Data Sheet'!J31/'Data Sheet'!J$17,0)</f>
        <v>7.7300014540620269E-3</v>
      </c>
      <c r="L19" s="9">
        <f>IFERROR('Data Sheet'!K31/'Data Sheet'!K$17,0)</f>
        <v>7.679771173238468E-3</v>
      </c>
    </row>
    <row r="21" spans="2:12" x14ac:dyDescent="0.25">
      <c r="C21" t="s">
        <v>154</v>
      </c>
    </row>
    <row r="22" spans="2:12" x14ac:dyDescent="0.25">
      <c r="B22" s="173" t="str">
        <f>"Common Size Balance Sheet"&amp;""&amp;"-"&amp;'Data Sheet'!B1</f>
        <v>Common Size Balance Sheet-RELIANCE INDUSTRIES LTD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</row>
    <row r="24" spans="2:12" x14ac:dyDescent="0.25">
      <c r="B24" s="77" t="s">
        <v>157</v>
      </c>
      <c r="C24" s="78">
        <f>'Data Sheet'!B16</f>
        <v>42825</v>
      </c>
      <c r="D24" s="78">
        <f>'Data Sheet'!C16</f>
        <v>43190</v>
      </c>
      <c r="E24" s="78">
        <f>'Data Sheet'!D16</f>
        <v>43555</v>
      </c>
      <c r="F24" s="78">
        <f>'Data Sheet'!E16</f>
        <v>43921</v>
      </c>
      <c r="G24" s="78">
        <f>'Data Sheet'!F16</f>
        <v>44286</v>
      </c>
      <c r="H24" s="78">
        <f>'Data Sheet'!G16</f>
        <v>44651</v>
      </c>
      <c r="I24" s="78">
        <f>'Data Sheet'!H16</f>
        <v>45016</v>
      </c>
      <c r="J24" s="78">
        <f>'Data Sheet'!I16</f>
        <v>45382</v>
      </c>
      <c r="K24" s="78">
        <f>'Data Sheet'!J16</f>
        <v>45747</v>
      </c>
      <c r="L24" s="78">
        <f>'Data Sheet'!K16</f>
        <v>46112</v>
      </c>
    </row>
    <row r="25" spans="2:12" x14ac:dyDescent="0.25">
      <c r="B25" s="80" t="s">
        <v>81</v>
      </c>
      <c r="C25" s="81">
        <f>'Data Sheet'!B61/'Data Sheet'!B$61</f>
        <v>1</v>
      </c>
      <c r="D25" s="81">
        <f>'Data Sheet'!C61/'Data Sheet'!C$61</f>
        <v>1</v>
      </c>
      <c r="E25" s="81">
        <f>'Data Sheet'!D61/'Data Sheet'!D$61</f>
        <v>1</v>
      </c>
      <c r="F25" s="81">
        <f>'Data Sheet'!E61/'Data Sheet'!E$61</f>
        <v>1</v>
      </c>
      <c r="G25" s="81">
        <f>'Data Sheet'!F61/'Data Sheet'!F$61</f>
        <v>1</v>
      </c>
      <c r="H25" s="81">
        <f>'Data Sheet'!G61/'Data Sheet'!G$61</f>
        <v>1</v>
      </c>
      <c r="I25" s="81">
        <f>'Data Sheet'!H61/'Data Sheet'!H$61</f>
        <v>1</v>
      </c>
      <c r="J25" s="81">
        <f>'Data Sheet'!I61/'Data Sheet'!I$61</f>
        <v>1</v>
      </c>
      <c r="K25" s="81">
        <f>'Data Sheet'!J61/'Data Sheet'!J$61</f>
        <v>1</v>
      </c>
      <c r="L25" s="81">
        <f>'Data Sheet'!K61/'Data Sheet'!K$61</f>
        <v>1</v>
      </c>
    </row>
    <row r="26" spans="2:12" x14ac:dyDescent="0.25">
      <c r="B26" s="79" t="str">
        <f>'Data Sheet'!A57</f>
        <v>Equity Share Capital</v>
      </c>
      <c r="C26" s="9">
        <f>'Data Sheet'!B57/'Data Sheet'!B$61</f>
        <v>4.1864624038981217E-3</v>
      </c>
      <c r="D26" s="9">
        <f>'Data Sheet'!C57/'Data Sheet'!C$61</f>
        <v>7.299638962470093E-3</v>
      </c>
      <c r="E26" s="9">
        <f>'Data Sheet'!D57/'Data Sheet'!D$61</f>
        <v>5.9400779848240333E-3</v>
      </c>
      <c r="F26" s="9">
        <f>'Data Sheet'!E57/'Data Sheet'!E$61</f>
        <v>5.4504886007489158E-3</v>
      </c>
      <c r="G26" s="9">
        <f>'Data Sheet'!F57/'Data Sheet'!F$61</f>
        <v>4.8823353395476736E-3</v>
      </c>
      <c r="H26" s="9">
        <f>'Data Sheet'!G57/'Data Sheet'!G$61</f>
        <v>4.5141469963740025E-3</v>
      </c>
      <c r="I26" s="9">
        <f>'Data Sheet'!H57/'Data Sheet'!H$61</f>
        <v>4.2132609992515018E-3</v>
      </c>
      <c r="J26" s="9">
        <f>'Data Sheet'!I57/'Data Sheet'!I$61</f>
        <v>3.8551652148545224E-3</v>
      </c>
      <c r="K26" s="9">
        <f>'Data Sheet'!J57/'Data Sheet'!J$61</f>
        <v>6.9405086799954659E-3</v>
      </c>
      <c r="L26" s="9">
        <f>'Data Sheet'!K57/'Data Sheet'!K$61</f>
        <v>6.2126401425069092E-3</v>
      </c>
    </row>
    <row r="27" spans="2:12" x14ac:dyDescent="0.25">
      <c r="B27" s="79" t="str">
        <f>'Data Sheet'!A58</f>
        <v>Reserves</v>
      </c>
      <c r="C27" s="9">
        <f>'Data Sheet'!B58/'Data Sheet'!B$61</f>
        <v>0.36891519831579422</v>
      </c>
      <c r="D27" s="9">
        <f>'Data Sheet'!C58/'Data Sheet'!C$61</f>
        <v>0.35448486514403904</v>
      </c>
      <c r="E27" s="9">
        <f>'Data Sheet'!D58/'Data Sheet'!D$61</f>
        <v>0.38209155699006647</v>
      </c>
      <c r="F27" s="9">
        <f>'Data Sheet'!E58/'Data Sheet'!E$61</f>
        <v>0.38075777182581483</v>
      </c>
      <c r="G27" s="9">
        <f>'Data Sheet'!F58/'Data Sheet'!F$61</f>
        <v>0.52552487945669346</v>
      </c>
      <c r="H27" s="9">
        <f>'Data Sheet'!G58/'Data Sheet'!G$61</f>
        <v>0.51562034989477001</v>
      </c>
      <c r="I27" s="9">
        <f>'Data Sheet'!H58/'Data Sheet'!H$61</f>
        <v>0.44156793587573684</v>
      </c>
      <c r="J27" s="9">
        <f>'Data Sheet'!I58/'Data Sheet'!I$61</f>
        <v>0.4482583952119828</v>
      </c>
      <c r="K27" s="9">
        <f>'Data Sheet'!J58/'Data Sheet'!J$61</f>
        <v>0.42553339901821446</v>
      </c>
      <c r="L27" s="9">
        <f>'Data Sheet'!K58/'Data Sheet'!K$61</f>
        <v>0.4088341428925597</v>
      </c>
    </row>
    <row r="28" spans="2:12" x14ac:dyDescent="0.25">
      <c r="B28" s="79" t="str">
        <f>'Data Sheet'!A59</f>
        <v>Borrowings</v>
      </c>
      <c r="C28" s="9">
        <f>'Data Sheet'!B59/'Data Sheet'!B$61</f>
        <v>0.30768871621755456</v>
      </c>
      <c r="D28" s="9">
        <f>'Data Sheet'!C59/'Data Sheet'!C$61</f>
        <v>0.29563784324142428</v>
      </c>
      <c r="E28" s="9">
        <f>'Data Sheet'!D59/'Data Sheet'!D$61</f>
        <v>0.30844501468480301</v>
      </c>
      <c r="F28" s="9">
        <f>'Data Sheet'!E59/'Data Sheet'!E$61</f>
        <v>0.30535547692850051</v>
      </c>
      <c r="G28" s="9">
        <f>'Data Sheet'!F59/'Data Sheet'!F$61</f>
        <v>0.21132444235700515</v>
      </c>
      <c r="H28" s="9">
        <f>'Data Sheet'!G59/'Data Sheet'!G$61</f>
        <v>0.21296764627771381</v>
      </c>
      <c r="I28" s="9">
        <f>'Data Sheet'!H59/'Data Sheet'!H$61</f>
        <v>0.28125603251048331</v>
      </c>
      <c r="J28" s="9">
        <f>'Data Sheet'!I59/'Data Sheet'!I$61</f>
        <v>0.1998344204830865</v>
      </c>
      <c r="K28" s="9">
        <f>'Data Sheet'!J59/'Data Sheet'!J$61</f>
        <v>0.19198364066916515</v>
      </c>
      <c r="L28" s="9">
        <f>'Data Sheet'!K59/'Data Sheet'!K$61</f>
        <v>0.18272471007373264</v>
      </c>
    </row>
    <row r="29" spans="2:12" x14ac:dyDescent="0.25">
      <c r="B29" s="79" t="str">
        <f>'Data Sheet'!A60</f>
        <v>Other Liabilities</v>
      </c>
      <c r="C29" s="9">
        <f>'Data Sheet'!B60/'Data Sheet'!B$61</f>
        <v>0.31920962306275308</v>
      </c>
      <c r="D29" s="9">
        <f>'Data Sheet'!C60/'Data Sheet'!C$61</f>
        <v>0.34257765265206658</v>
      </c>
      <c r="E29" s="9">
        <f>'Data Sheet'!D60/'Data Sheet'!D$61</f>
        <v>0.30352335034030653</v>
      </c>
      <c r="F29" s="9">
        <f>'Data Sheet'!E60/'Data Sheet'!E$61</f>
        <v>0.30843626264493579</v>
      </c>
      <c r="G29" s="9">
        <f>'Data Sheet'!F60/'Data Sheet'!F$61</f>
        <v>0.25826834284675376</v>
      </c>
      <c r="H29" s="9">
        <f>'Data Sheet'!G60/'Data Sheet'!G$61</f>
        <v>0.2668978568311422</v>
      </c>
      <c r="I29" s="9">
        <f>'Data Sheet'!H60/'Data Sheet'!H$61</f>
        <v>0.27296277061452834</v>
      </c>
      <c r="J29" s="9">
        <f>'Data Sheet'!I60/'Data Sheet'!I$61</f>
        <v>0.34805201909007616</v>
      </c>
      <c r="K29" s="9">
        <f>'Data Sheet'!J60/'Data Sheet'!J$61</f>
        <v>0.3755424516326249</v>
      </c>
      <c r="L29" s="9">
        <f>'Data Sheet'!K60/'Data Sheet'!K$61</f>
        <v>0.40222850689120077</v>
      </c>
    </row>
    <row r="30" spans="2:12" x14ac:dyDescent="0.25">
      <c r="B30" s="7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2:12" x14ac:dyDescent="0.25">
      <c r="B31" s="80" t="s">
        <v>85</v>
      </c>
      <c r="C31" s="25">
        <f>'Data Sheet'!B75/'Data Sheet'!B$75</f>
        <v>1</v>
      </c>
      <c r="D31" s="25">
        <f>'Data Sheet'!C75/'Data Sheet'!C$75</f>
        <v>1</v>
      </c>
      <c r="E31" s="25">
        <f>'Data Sheet'!D75/'Data Sheet'!D$75</f>
        <v>1</v>
      </c>
      <c r="F31" s="25">
        <f>'Data Sheet'!E75/'Data Sheet'!E$75</f>
        <v>1</v>
      </c>
      <c r="G31" s="25">
        <f>'Data Sheet'!F75/'Data Sheet'!F$75</f>
        <v>1</v>
      </c>
      <c r="H31" s="25">
        <f>'Data Sheet'!G75/'Data Sheet'!G$75</f>
        <v>1</v>
      </c>
      <c r="I31" s="25">
        <f>'Data Sheet'!H75/'Data Sheet'!H$75</f>
        <v>1</v>
      </c>
      <c r="J31" s="25">
        <f>'Data Sheet'!I75/'Data Sheet'!I$75</f>
        <v>1</v>
      </c>
      <c r="K31" s="25">
        <f>'Data Sheet'!J75/'Data Sheet'!J$75</f>
        <v>1</v>
      </c>
      <c r="L31" s="25">
        <f>'Data Sheet'!K75/'Data Sheet'!K$75</f>
        <v>1</v>
      </c>
    </row>
    <row r="32" spans="2:12" x14ac:dyDescent="0.25">
      <c r="B32" s="79" t="str">
        <f>'Data Sheet'!A62</f>
        <v>Net Block</v>
      </c>
      <c r="C32" s="9">
        <f>'Data Sheet'!B62/'Data Sheet'!B$75</f>
        <v>0.28087922784598801</v>
      </c>
      <c r="D32" s="9">
        <f>'Data Sheet'!C62/'Data Sheet'!C$75</f>
        <v>0.49784104734164702</v>
      </c>
      <c r="E32" s="9">
        <f>'Data Sheet'!D62/'Data Sheet'!D$75</f>
        <v>0.39932038932269481</v>
      </c>
      <c r="F32" s="9">
        <f>'Data Sheet'!E62/'Data Sheet'!E$75</f>
        <v>0.45799753227602397</v>
      </c>
      <c r="G32" s="9">
        <f>'Data Sheet'!F62/'Data Sheet'!F$75</f>
        <v>0.41002374883054998</v>
      </c>
      <c r="H32" s="9">
        <f>'Data Sheet'!G62/'Data Sheet'!G$75</f>
        <v>0.41891684494155296</v>
      </c>
      <c r="I32" s="9">
        <f>'Data Sheet'!H62/'Data Sheet'!H$75</f>
        <v>0.4513438720902283</v>
      </c>
      <c r="J32" s="9">
        <f>'Data Sheet'!I62/'Data Sheet'!I$75</f>
        <v>0.44442374225662207</v>
      </c>
      <c r="K32" s="9">
        <f>'Data Sheet'!J62/'Data Sheet'!J$75</f>
        <v>0.5125846727184975</v>
      </c>
      <c r="L32" s="9">
        <f>'Data Sheet'!K62/'Data Sheet'!K$75</f>
        <v>0.53724462155784292</v>
      </c>
    </row>
    <row r="33" spans="2:12" x14ac:dyDescent="0.25">
      <c r="B33" s="79" t="str">
        <f>'Data Sheet'!A63</f>
        <v>Capital Work in Progress</v>
      </c>
      <c r="C33" s="9">
        <f>'Data Sheet'!B63/'Data Sheet'!B$75</f>
        <v>0.4595869847566928</v>
      </c>
      <c r="D33" s="9">
        <f>'Data Sheet'!C63/'Data Sheet'!C$75</f>
        <v>0.23052905741963556</v>
      </c>
      <c r="E33" s="9">
        <f>'Data Sheet'!D63/'Data Sheet'!D$75</f>
        <v>0.17988933773042109</v>
      </c>
      <c r="F33" s="9">
        <f>'Data Sheet'!E63/'Data Sheet'!E$75</f>
        <v>9.3813063460058549E-2</v>
      </c>
      <c r="G33" s="9">
        <f>'Data Sheet'!F63/'Data Sheet'!F$75</f>
        <v>9.5414240965407002E-2</v>
      </c>
      <c r="H33" s="9">
        <f>'Data Sheet'!G63/'Data Sheet'!G$75</f>
        <v>0.11510974748802566</v>
      </c>
      <c r="I33" s="9">
        <f>'Data Sheet'!H63/'Data Sheet'!H$75</f>
        <v>0.18292253104524492</v>
      </c>
      <c r="J33" s="9">
        <f>'Data Sheet'!I63/'Data Sheet'!I$75</f>
        <v>0.19307449140992156</v>
      </c>
      <c r="K33" s="9">
        <f>'Data Sheet'!J63/'Data Sheet'!J$75</f>
        <v>0.13456236892301585</v>
      </c>
      <c r="L33" s="9">
        <f>'Data Sheet'!K63/'Data Sheet'!K$75</f>
        <v>8.8280367653135239E-2</v>
      </c>
    </row>
    <row r="34" spans="2:12" x14ac:dyDescent="0.25">
      <c r="B34" s="79" t="str">
        <f>'Data Sheet'!A64</f>
        <v>Investments</v>
      </c>
      <c r="C34" s="9">
        <f>'Data Sheet'!B64/'Data Sheet'!B$75</f>
        <v>0.11728744400836444</v>
      </c>
      <c r="D34" s="9">
        <f>'Data Sheet'!C64/'Data Sheet'!C$75</f>
        <v>0.10213824446271477</v>
      </c>
      <c r="E34" s="9">
        <f>'Data Sheet'!D64/'Data Sheet'!D$75</f>
        <v>0.23619478163246896</v>
      </c>
      <c r="F34" s="9">
        <f>'Data Sheet'!E64/'Data Sheet'!E$75</f>
        <v>0.2379737148704015</v>
      </c>
      <c r="G34" s="9">
        <f>'Data Sheet'!F64/'Data Sheet'!F$75</f>
        <v>0.27637123929503471</v>
      </c>
      <c r="H34" s="9">
        <f>'Data Sheet'!G64/'Data Sheet'!G$75</f>
        <v>0.26308435349274201</v>
      </c>
      <c r="I34" s="9">
        <f>'Data Sheet'!H64/'Data Sheet'!H$75</f>
        <v>0.14668574652433988</v>
      </c>
      <c r="J34" s="9">
        <f>'Data Sheet'!I64/'Data Sheet'!I$75</f>
        <v>0.12858451734653412</v>
      </c>
      <c r="K34" s="9">
        <f>'Data Sheet'!J64/'Data Sheet'!J$75</f>
        <v>0.12431624551921232</v>
      </c>
      <c r="L34" s="9">
        <f>'Data Sheet'!K64/'Data Sheet'!K$75</f>
        <v>0.1140110369397743</v>
      </c>
    </row>
    <row r="35" spans="2:12" x14ac:dyDescent="0.25">
      <c r="B35" s="79" t="str">
        <f>'Data Sheet'!A65</f>
        <v>Other Assets</v>
      </c>
      <c r="C35" s="9">
        <f>'Data Sheet'!B74/'Data Sheet'!B$75</f>
        <v>5.7143301801636105E-2</v>
      </c>
      <c r="D35" s="9">
        <f>'Data Sheet'!C74/'Data Sheet'!C$75</f>
        <v>6.7618421912229304E-2</v>
      </c>
      <c r="E35" s="9">
        <f>'Data Sheet'!D74/'Data Sheet'!D$75</f>
        <v>7.5606186662389857E-2</v>
      </c>
      <c r="F35" s="9">
        <f>'Data Sheet'!E74/'Data Sheet'!E$75</f>
        <v>0.10318439573006367</v>
      </c>
      <c r="G35" s="9">
        <f>'Data Sheet'!F74/'Data Sheet'!F$75</f>
        <v>0.12873835758087671</v>
      </c>
      <c r="H35" s="9">
        <f>'Data Sheet'!G74/'Data Sheet'!G$75</f>
        <v>9.1055649790274001E-2</v>
      </c>
      <c r="I35" s="9">
        <f>'Data Sheet'!H74/'Data Sheet'!H$75</f>
        <v>7.1390675030917589E-2</v>
      </c>
      <c r="J35" s="9">
        <f>'Data Sheet'!I74/'Data Sheet'!I$75</f>
        <v>7.345269189218756E-2</v>
      </c>
      <c r="K35" s="9">
        <f>'Data Sheet'!J74/'Data Sheet'!J$75</f>
        <v>7.7393954905157838E-2</v>
      </c>
      <c r="L35" s="9">
        <f>'Data Sheet'!K74/'Data Sheet'!K$75</f>
        <v>8.9947386302074245E-2</v>
      </c>
    </row>
    <row r="36" spans="2:12" x14ac:dyDescent="0.25">
      <c r="B36" s="79" t="str">
        <f>'Data Sheet'!A67</f>
        <v>Receivables</v>
      </c>
      <c r="C36" s="9">
        <f>'Data Sheet'!B67/'Data Sheet'!B$75</f>
        <v>1.1569010840376795E-2</v>
      </c>
      <c r="D36" s="9">
        <f>'Data Sheet'!C67/'Data Sheet'!C$75</f>
        <v>2.1638831811239868E-2</v>
      </c>
      <c r="E36" s="9">
        <f>'Data Sheet'!D67/'Data Sheet'!D$75</f>
        <v>3.0160480338402011E-2</v>
      </c>
      <c r="F36" s="9">
        <f>'Data Sheet'!E67/'Data Sheet'!E$75</f>
        <v>1.690089981642541E-2</v>
      </c>
      <c r="G36" s="9">
        <f>'Data Sheet'!F67/'Data Sheet'!F$75</f>
        <v>1.4403836174733819E-2</v>
      </c>
      <c r="H36" s="9">
        <f>'Data Sheet'!G67/'Data Sheet'!G$75</f>
        <v>1.5774491499524229E-2</v>
      </c>
      <c r="I36" s="9">
        <f>'Data Sheet'!H67/'Data Sheet'!H$75</f>
        <v>1.7714875688251069E-2</v>
      </c>
      <c r="J36" s="9">
        <f>'Data Sheet'!I67/'Data Sheet'!I$75</f>
        <v>1.8021159535237783E-2</v>
      </c>
      <c r="K36" s="9">
        <f>'Data Sheet'!J67/'Data Sheet'!J$75</f>
        <v>2.1603692440887452E-2</v>
      </c>
      <c r="L36" s="9">
        <f>'Data Sheet'!K67/'Data Sheet'!K$75</f>
        <v>2.6853645771162553E-2</v>
      </c>
    </row>
    <row r="37" spans="2:12" x14ac:dyDescent="0.25">
      <c r="B37" s="79" t="str">
        <f>'Data Sheet'!A68</f>
        <v>Inventory</v>
      </c>
      <c r="C37" s="9">
        <f>'Data Sheet'!B68/'Data Sheet'!B$75</f>
        <v>6.9257019646237566E-2</v>
      </c>
      <c r="D37" s="9">
        <f>'Data Sheet'!C68/'Data Sheet'!C$75</f>
        <v>7.4989553454878941E-2</v>
      </c>
      <c r="E37" s="9">
        <f>'Data Sheet'!D68/'Data Sheet'!D$75</f>
        <v>6.77214999548931E-2</v>
      </c>
      <c r="F37" s="9">
        <f>'Data Sheet'!E68/'Data Sheet'!E$75</f>
        <v>6.3544322300228287E-2</v>
      </c>
      <c r="G37" s="9">
        <f>'Data Sheet'!F68/'Data Sheet'!F$75</f>
        <v>6.1869680659664486E-2</v>
      </c>
      <c r="H37" s="9">
        <f>'Data Sheet'!G68/'Data Sheet'!G$75</f>
        <v>7.1918068732475568E-2</v>
      </c>
      <c r="I37" s="9">
        <f>'Data Sheet'!H68/'Data Sheet'!H$75</f>
        <v>8.7184488025894805E-2</v>
      </c>
      <c r="J37" s="9">
        <f>'Data Sheet'!I68/'Data Sheet'!I$75</f>
        <v>8.7046052301703425E-2</v>
      </c>
      <c r="K37" s="9">
        <f>'Data Sheet'!J68/'Data Sheet'!J$75</f>
        <v>7.4914615638301638E-2</v>
      </c>
      <c r="L37" s="9">
        <f>'Data Sheet'!K68/'Data Sheet'!K$75</f>
        <v>7.6643833729695979E-2</v>
      </c>
    </row>
    <row r="38" spans="2:12" x14ac:dyDescent="0.25">
      <c r="B38" s="79" t="str">
        <f>'Data Sheet'!A69</f>
        <v>Cash &amp; Bank</v>
      </c>
      <c r="C38" s="9">
        <f>'Data Sheet'!B69/'Data Sheet'!B$75</f>
        <v>4.2770111007042989E-3</v>
      </c>
      <c r="D38" s="9">
        <f>'Data Sheet'!C69/'Data Sheet'!C$75</f>
        <v>5.2448435976545508E-3</v>
      </c>
      <c r="E38" s="9">
        <f>'Data Sheet'!D69/'Data Sheet'!D$75</f>
        <v>1.1107324358730191E-2</v>
      </c>
      <c r="F38" s="9">
        <f>'Data Sheet'!E69/'Data Sheet'!E$75</f>
        <v>2.6586071546798623E-2</v>
      </c>
      <c r="G38" s="9">
        <f>'Data Sheet'!F69/'Data Sheet'!F$75</f>
        <v>1.3178896493733263E-2</v>
      </c>
      <c r="H38" s="9">
        <f>'Data Sheet'!G69/'Data Sheet'!G$75</f>
        <v>2.4140844055405567E-2</v>
      </c>
      <c r="I38" s="9">
        <f>'Data Sheet'!H69/'Data Sheet'!H$75</f>
        <v>4.2757811595123429E-2</v>
      </c>
      <c r="J38" s="9">
        <f>'Data Sheet'!I69/'Data Sheet'!I$75</f>
        <v>5.5397345257793516E-2</v>
      </c>
      <c r="K38" s="9">
        <f>'Data Sheet'!J69/'Data Sheet'!J$75</f>
        <v>5.4624449854927364E-2</v>
      </c>
      <c r="L38" s="9">
        <f>'Data Sheet'!K69/'Data Sheet'!K$75</f>
        <v>6.7019108046314751E-2</v>
      </c>
    </row>
    <row r="39" spans="2:12" x14ac:dyDescent="0.25">
      <c r="B39" s="79"/>
    </row>
    <row r="40" spans="2:12" x14ac:dyDescent="0.25">
      <c r="B40" s="79"/>
    </row>
  </sheetData>
  <mergeCells count="2">
    <mergeCell ref="B2:L2"/>
    <mergeCell ref="B22:L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09832-D0A6-4EC0-A8C4-3080266AD8AE}">
  <dimension ref="B2:O18"/>
  <sheetViews>
    <sheetView showGridLines="0" workbookViewId="0">
      <selection activeCell="H33" sqref="H33"/>
    </sheetView>
  </sheetViews>
  <sheetFormatPr defaultRowHeight="15" x14ac:dyDescent="0.25"/>
  <cols>
    <col min="1" max="1" width="1.85546875" customWidth="1"/>
    <col min="2" max="2" width="11.7109375" bestFit="1" customWidth="1"/>
    <col min="3" max="3" width="6.28515625" bestFit="1" customWidth="1"/>
    <col min="4" max="4" width="11.7109375" bestFit="1" customWidth="1"/>
    <col min="5" max="5" width="12.5703125" bestFit="1" customWidth="1"/>
    <col min="6" max="6" width="3.5703125" customWidth="1"/>
    <col min="7" max="7" width="11.7109375" bestFit="1" customWidth="1"/>
    <col min="8" max="8" width="6.28515625" bestFit="1" customWidth="1"/>
    <col min="9" max="9" width="12.28515625" bestFit="1" customWidth="1"/>
    <col min="10" max="10" width="12.5703125" bestFit="1" customWidth="1"/>
    <col min="11" max="11" width="4.5703125" customWidth="1"/>
    <col min="12" max="12" width="13.42578125" bestFit="1" customWidth="1"/>
    <col min="13" max="13" width="12" bestFit="1" customWidth="1"/>
    <col min="14" max="14" width="12.42578125" bestFit="1" customWidth="1"/>
    <col min="15" max="15" width="12.5703125" bestFit="1" customWidth="1"/>
  </cols>
  <sheetData>
    <row r="2" spans="2:15" x14ac:dyDescent="0.25">
      <c r="B2" s="174" t="str">
        <f>'Data Sheet'!B1&amp;" - "&amp;"Sales Forecasting"</f>
        <v>RELIANCE INDUSTRIES LTD - Sales Forecasting</v>
      </c>
      <c r="C2" s="174"/>
      <c r="D2" s="174"/>
      <c r="E2" s="174"/>
      <c r="G2" s="175" t="str">
        <f>'Data Sheet'!B1&amp;" - "&amp;"EBITDA Forecasting"</f>
        <v>RELIANCE INDUSTRIES LTD - EBITDA Forecasting</v>
      </c>
      <c r="H2" s="175"/>
      <c r="I2" s="175"/>
      <c r="J2" s="175"/>
      <c r="L2" s="175" t="str">
        <f>'Data Sheet'!B1&amp;" - "&amp;"Earning Per Share Forecasting"</f>
        <v>RELIANCE INDUSTRIES LTD - Earning Per Share Forecasting</v>
      </c>
      <c r="M2" s="175"/>
      <c r="N2" s="175"/>
      <c r="O2" s="175"/>
    </row>
    <row r="3" spans="2:15" x14ac:dyDescent="0.25">
      <c r="B3" s="61" t="s">
        <v>149</v>
      </c>
      <c r="C3" s="62" t="s">
        <v>148</v>
      </c>
      <c r="D3" s="62" t="s">
        <v>1</v>
      </c>
      <c r="E3" s="62" t="s">
        <v>10</v>
      </c>
      <c r="F3" s="59"/>
      <c r="G3" s="61" t="s">
        <v>149</v>
      </c>
      <c r="H3" s="62" t="s">
        <v>148</v>
      </c>
      <c r="I3" s="62" t="s">
        <v>65</v>
      </c>
      <c r="J3" s="62" t="s">
        <v>10</v>
      </c>
      <c r="L3" s="61" t="s">
        <v>149</v>
      </c>
      <c r="M3" s="62" t="s">
        <v>148</v>
      </c>
      <c r="N3" s="62" t="s">
        <v>65</v>
      </c>
      <c r="O3" s="62" t="s">
        <v>10</v>
      </c>
    </row>
    <row r="4" spans="2:15" x14ac:dyDescent="0.25">
      <c r="B4" s="63">
        <v>1</v>
      </c>
      <c r="C4" s="65">
        <v>2017</v>
      </c>
      <c r="D4" s="67">
        <f t="array" ref="D4:D13">TRANSPOSE('Data Sheet'!B17:K17)</f>
        <v>303954</v>
      </c>
      <c r="G4" s="63">
        <v>1</v>
      </c>
      <c r="H4" s="66">
        <f>'Data Sheet'!$B$16</f>
        <v>42825</v>
      </c>
      <c r="I4" s="68">
        <f t="array" ref="I4:I13">TRANSPOSE(HistoricalFS!C19:L19)</f>
        <v>55529</v>
      </c>
      <c r="L4" s="63">
        <v>1</v>
      </c>
      <c r="M4" s="66">
        <f>'Data Sheet'!$B$16</f>
        <v>42825</v>
      </c>
      <c r="N4" s="68">
        <f t="array" ref="N4:N13">TRANSPOSE(HistoricalFS!C41:L41)</f>
        <v>21.50560113031819</v>
      </c>
    </row>
    <row r="5" spans="2:15" x14ac:dyDescent="0.25">
      <c r="B5" s="63">
        <v>2</v>
      </c>
      <c r="C5" s="65">
        <v>2018</v>
      </c>
      <c r="D5" s="67">
        <v>390823</v>
      </c>
      <c r="E5" s="9">
        <f>IFERROR(D5/D4-1,0)</f>
        <v>0.28579653500200686</v>
      </c>
      <c r="G5" s="63">
        <v>2</v>
      </c>
      <c r="H5" s="66">
        <f>H4+365</f>
        <v>43190</v>
      </c>
      <c r="I5" s="68">
        <v>74184</v>
      </c>
      <c r="J5" s="9">
        <f>I5/I4-1</f>
        <v>0.33595058437933334</v>
      </c>
      <c r="L5" s="63">
        <v>2</v>
      </c>
      <c r="M5" s="66">
        <f>M4+365</f>
        <v>43190</v>
      </c>
      <c r="N5" s="68">
        <v>26.698436424718253</v>
      </c>
      <c r="O5" s="9">
        <f>N5/N4-1</f>
        <v>0.241464317269388</v>
      </c>
    </row>
    <row r="6" spans="2:15" x14ac:dyDescent="0.25">
      <c r="B6" s="63">
        <v>3</v>
      </c>
      <c r="C6" s="65">
        <v>2019</v>
      </c>
      <c r="D6" s="67">
        <v>568337</v>
      </c>
      <c r="E6" s="9">
        <f t="shared" ref="E6:E17" si="0">IFERROR(D6/D5-1,0)</f>
        <v>0.45420561225925793</v>
      </c>
      <c r="G6" s="63">
        <v>3</v>
      </c>
      <c r="H6" s="66">
        <f t="shared" ref="H6:H17" si="1">H5+365</f>
        <v>43555</v>
      </c>
      <c r="I6" s="68">
        <v>92656</v>
      </c>
      <c r="J6" s="9">
        <f t="shared" ref="J6:J17" si="2">I6/I5-1</f>
        <v>0.24900248031920635</v>
      </c>
      <c r="L6" s="63">
        <v>3</v>
      </c>
      <c r="M6" s="66">
        <f t="shared" ref="M6:M17" si="3">M5+365</f>
        <v>43555</v>
      </c>
      <c r="N6" s="68">
        <v>29.459571384201265</v>
      </c>
      <c r="O6" s="9">
        <f t="shared" ref="O6:O17" si="4">N6/N5-1</f>
        <v>0.10341935069001518</v>
      </c>
    </row>
    <row r="7" spans="2:15" x14ac:dyDescent="0.25">
      <c r="B7" s="63">
        <v>4</v>
      </c>
      <c r="C7" s="65">
        <v>2020</v>
      </c>
      <c r="D7" s="67">
        <v>596679</v>
      </c>
      <c r="E7" s="9">
        <f t="shared" si="0"/>
        <v>4.9868299969912266E-2</v>
      </c>
      <c r="G7" s="63">
        <v>4</v>
      </c>
      <c r="H7" s="66">
        <f t="shared" si="1"/>
        <v>43920</v>
      </c>
      <c r="I7" s="68">
        <v>97836</v>
      </c>
      <c r="J7" s="9">
        <f t="shared" si="2"/>
        <v>5.5905715765843578E-2</v>
      </c>
      <c r="L7" s="63">
        <v>4</v>
      </c>
      <c r="M7" s="66">
        <f t="shared" si="3"/>
        <v>43920</v>
      </c>
      <c r="N7" s="68">
        <v>29.488971213499266</v>
      </c>
      <c r="O7" s="9">
        <f t="shared" si="4"/>
        <v>9.979720653290336E-4</v>
      </c>
    </row>
    <row r="8" spans="2:15" x14ac:dyDescent="0.25">
      <c r="B8" s="63">
        <v>5</v>
      </c>
      <c r="C8" s="65">
        <v>2021</v>
      </c>
      <c r="D8" s="67">
        <v>466307</v>
      </c>
      <c r="E8" s="9">
        <f t="shared" si="0"/>
        <v>-0.21849604226057895</v>
      </c>
      <c r="G8" s="63">
        <v>5</v>
      </c>
      <c r="H8" s="66">
        <f t="shared" si="1"/>
        <v>44285</v>
      </c>
      <c r="I8" s="68">
        <v>103222</v>
      </c>
      <c r="J8" s="9">
        <f t="shared" si="2"/>
        <v>5.5051310356106109E-2</v>
      </c>
      <c r="L8" s="63">
        <v>5</v>
      </c>
      <c r="M8" s="66">
        <f t="shared" si="3"/>
        <v>44285</v>
      </c>
      <c r="N8" s="68">
        <v>42.384591723256747</v>
      </c>
      <c r="O8" s="9">
        <f t="shared" si="4"/>
        <v>0.43730316722118157</v>
      </c>
    </row>
    <row r="9" spans="2:15" x14ac:dyDescent="0.25">
      <c r="B9" s="63">
        <v>6</v>
      </c>
      <c r="C9" s="65">
        <v>2022</v>
      </c>
      <c r="D9" s="67">
        <v>694673</v>
      </c>
      <c r="E9" s="9">
        <f t="shared" si="0"/>
        <v>0.48973315862725619</v>
      </c>
      <c r="G9" s="63">
        <v>6</v>
      </c>
      <c r="H9" s="66">
        <f t="shared" si="1"/>
        <v>44650</v>
      </c>
      <c r="I9" s="68">
        <v>128181</v>
      </c>
      <c r="J9" s="9">
        <f t="shared" si="2"/>
        <v>0.2417992288465638</v>
      </c>
      <c r="L9" s="63">
        <v>6</v>
      </c>
      <c r="M9" s="66">
        <f t="shared" si="3"/>
        <v>44650</v>
      </c>
      <c r="N9" s="68">
        <v>50.144865408210023</v>
      </c>
      <c r="O9" s="9">
        <f t="shared" si="4"/>
        <v>0.18309185884395718</v>
      </c>
    </row>
    <row r="10" spans="2:15" x14ac:dyDescent="0.25">
      <c r="B10" s="63">
        <v>7</v>
      </c>
      <c r="C10" s="65">
        <v>2023</v>
      </c>
      <c r="D10" s="67">
        <v>876396</v>
      </c>
      <c r="E10" s="9">
        <f t="shared" si="0"/>
        <v>0.26159502384575184</v>
      </c>
      <c r="G10" s="63">
        <v>7</v>
      </c>
      <c r="H10" s="66">
        <f t="shared" si="1"/>
        <v>45015</v>
      </c>
      <c r="I10" s="68">
        <v>154338</v>
      </c>
      <c r="J10" s="9">
        <f t="shared" si="2"/>
        <v>0.20406300465747651</v>
      </c>
      <c r="L10" s="63">
        <v>7</v>
      </c>
      <c r="M10" s="66">
        <f t="shared" si="3"/>
        <v>45015</v>
      </c>
      <c r="N10" s="68">
        <v>54.753458673288407</v>
      </c>
      <c r="O10" s="9">
        <f t="shared" si="4"/>
        <v>9.1905586495478753E-2</v>
      </c>
    </row>
    <row r="11" spans="2:15" x14ac:dyDescent="0.25">
      <c r="B11" s="63">
        <v>8</v>
      </c>
      <c r="C11" s="65">
        <v>2024</v>
      </c>
      <c r="D11" s="67">
        <v>899041</v>
      </c>
      <c r="E11" s="9">
        <f t="shared" si="0"/>
        <v>2.5838776078393799E-2</v>
      </c>
      <c r="G11" s="63">
        <v>8</v>
      </c>
      <c r="H11" s="66">
        <f t="shared" si="1"/>
        <v>45380</v>
      </c>
      <c r="I11" s="68">
        <v>178290</v>
      </c>
      <c r="J11" s="9">
        <f t="shared" si="2"/>
        <v>0.15519185165027416</v>
      </c>
      <c r="L11" s="63">
        <v>8</v>
      </c>
      <c r="M11" s="66">
        <f t="shared" si="3"/>
        <v>45380</v>
      </c>
      <c r="N11" s="68">
        <v>58.111503613816751</v>
      </c>
      <c r="O11" s="9">
        <f t="shared" si="4"/>
        <v>6.1330279801421472E-2</v>
      </c>
    </row>
    <row r="12" spans="2:15" x14ac:dyDescent="0.25">
      <c r="B12" s="63">
        <v>9</v>
      </c>
      <c r="C12" s="65">
        <v>2025</v>
      </c>
      <c r="D12" s="67">
        <v>962820</v>
      </c>
      <c r="E12" s="9">
        <f t="shared" si="0"/>
        <v>7.0941147289167006E-2</v>
      </c>
      <c r="G12" s="63">
        <v>9</v>
      </c>
      <c r="H12" s="66">
        <f t="shared" si="1"/>
        <v>45745</v>
      </c>
      <c r="I12" s="68">
        <v>183422</v>
      </c>
      <c r="J12" s="9">
        <f t="shared" si="2"/>
        <v>2.8784564473610441E-2</v>
      </c>
      <c r="L12" s="63">
        <v>9</v>
      </c>
      <c r="M12" s="66">
        <f t="shared" si="3"/>
        <v>45745</v>
      </c>
      <c r="N12" s="68">
        <v>59.698944754810675</v>
      </c>
      <c r="O12" s="9">
        <f t="shared" si="4"/>
        <v>2.731715826083847E-2</v>
      </c>
    </row>
    <row r="13" spans="2:15" x14ac:dyDescent="0.25">
      <c r="B13" s="63">
        <v>10</v>
      </c>
      <c r="C13" s="65">
        <v>2026</v>
      </c>
      <c r="D13" s="67">
        <v>1057219</v>
      </c>
      <c r="E13" s="9">
        <f t="shared" si="0"/>
        <v>9.8044286574852979E-2</v>
      </c>
      <c r="G13" s="63">
        <v>10</v>
      </c>
      <c r="H13" s="66">
        <f t="shared" si="1"/>
        <v>46110</v>
      </c>
      <c r="I13" s="68">
        <v>207911</v>
      </c>
      <c r="J13" s="9">
        <f t="shared" si="2"/>
        <v>0.13351179247854672</v>
      </c>
      <c r="L13" s="63">
        <v>10</v>
      </c>
      <c r="M13" s="66">
        <f t="shared" si="3"/>
        <v>46110</v>
      </c>
      <c r="N13" s="68">
        <v>70.652133752078328</v>
      </c>
      <c r="O13" s="9">
        <f t="shared" si="4"/>
        <v>0.18347374551180851</v>
      </c>
    </row>
    <row r="14" spans="2:15" x14ac:dyDescent="0.25">
      <c r="B14" s="72">
        <v>11</v>
      </c>
      <c r="C14" s="73">
        <v>2027</v>
      </c>
      <c r="D14" s="74">
        <f>FORECAST(B14,$D$4:$D$13,$B$4:$B$13)</f>
        <v>1131771.6000000001</v>
      </c>
      <c r="E14" s="75">
        <f t="shared" si="0"/>
        <v>7.0517650553007627E-2</v>
      </c>
      <c r="G14" s="69">
        <v>11</v>
      </c>
      <c r="H14" s="70">
        <f t="shared" si="1"/>
        <v>46475</v>
      </c>
      <c r="I14" s="76">
        <f>FORECAST(G14,I4:I13,G4:G13)</f>
        <v>219514.86666666664</v>
      </c>
      <c r="J14" s="71">
        <f t="shared" si="2"/>
        <v>5.5811701481242704E-2</v>
      </c>
      <c r="L14" s="69">
        <v>11</v>
      </c>
      <c r="M14" s="70">
        <f t="shared" si="3"/>
        <v>46475</v>
      </c>
      <c r="N14" s="68">
        <f>FORECAST(L14,N4:N13,L4:L13)</f>
        <v>74.294332778449331</v>
      </c>
      <c r="O14" s="71">
        <f t="shared" si="4"/>
        <v>5.1551153984275233E-2</v>
      </c>
    </row>
    <row r="15" spans="2:15" x14ac:dyDescent="0.25">
      <c r="B15" s="72">
        <v>12</v>
      </c>
      <c r="C15" s="73">
        <v>2028</v>
      </c>
      <c r="D15" s="74">
        <f t="shared" ref="D15:D17" si="5">FORECAST(B15,$D$4:$D$13,$B$4:$B$13)</f>
        <v>1213616.4545454546</v>
      </c>
      <c r="E15" s="75">
        <f t="shared" si="0"/>
        <v>7.2315699161787039E-2</v>
      </c>
      <c r="G15" s="69">
        <v>12</v>
      </c>
      <c r="H15" s="70">
        <f t="shared" si="1"/>
        <v>46840</v>
      </c>
      <c r="I15" s="76">
        <f t="shared" ref="I15:I17" si="6">FORECAST(G15,I5:I14,G5:G14)</f>
        <v>237090.61333333334</v>
      </c>
      <c r="J15" s="71">
        <f t="shared" si="2"/>
        <v>8.0066315933651433E-2</v>
      </c>
      <c r="L15" s="69">
        <v>12</v>
      </c>
      <c r="M15" s="70">
        <f t="shared" si="3"/>
        <v>46840</v>
      </c>
      <c r="N15" s="68">
        <f t="shared" ref="N15:N17" si="7">FORECAST(L15,N5:N14,L5:L14)</f>
        <v>80.220354319367402</v>
      </c>
      <c r="O15" s="71">
        <f t="shared" si="4"/>
        <v>7.9764112810459809E-2</v>
      </c>
    </row>
    <row r="16" spans="2:15" x14ac:dyDescent="0.25">
      <c r="B16" s="72">
        <v>13</v>
      </c>
      <c r="C16" s="73">
        <v>2029</v>
      </c>
      <c r="D16" s="74">
        <f t="shared" si="5"/>
        <v>1295461.3090909091</v>
      </c>
      <c r="E16" s="75">
        <f t="shared" si="0"/>
        <v>6.7438814164816563E-2</v>
      </c>
      <c r="G16" s="69">
        <v>13</v>
      </c>
      <c r="H16" s="70">
        <f t="shared" si="1"/>
        <v>47205</v>
      </c>
      <c r="I16" s="76">
        <f t="shared" si="6"/>
        <v>255738.93422222222</v>
      </c>
      <c r="J16" s="71">
        <f t="shared" si="2"/>
        <v>7.8654825792999983E-2</v>
      </c>
      <c r="L16" s="69">
        <v>13</v>
      </c>
      <c r="M16" s="70">
        <f t="shared" si="3"/>
        <v>47205</v>
      </c>
      <c r="N16" s="68">
        <f t="shared" si="7"/>
        <v>86.382291778617272</v>
      </c>
      <c r="O16" s="71">
        <f t="shared" si="4"/>
        <v>7.6812643269043912E-2</v>
      </c>
    </row>
    <row r="17" spans="2:15" x14ac:dyDescent="0.25">
      <c r="B17" s="72">
        <v>14</v>
      </c>
      <c r="C17" s="73">
        <v>2030</v>
      </c>
      <c r="D17" s="74">
        <f t="shared" si="5"/>
        <v>1377306.1636363636</v>
      </c>
      <c r="E17" s="75">
        <f t="shared" si="0"/>
        <v>6.317815435405727E-2</v>
      </c>
      <c r="G17" s="69">
        <v>14</v>
      </c>
      <c r="H17" s="70">
        <f t="shared" si="1"/>
        <v>47570</v>
      </c>
      <c r="I17" s="76">
        <f t="shared" si="6"/>
        <v>275912.00924444443</v>
      </c>
      <c r="J17" s="71">
        <f t="shared" si="2"/>
        <v>7.8881516745092028E-2</v>
      </c>
      <c r="L17" s="69">
        <v>14</v>
      </c>
      <c r="M17" s="70">
        <f t="shared" si="3"/>
        <v>47570</v>
      </c>
      <c r="N17" s="68">
        <f t="shared" si="7"/>
        <v>92.177179017785988</v>
      </c>
      <c r="O17" s="71">
        <f t="shared" si="4"/>
        <v>6.7084203484899518E-2</v>
      </c>
    </row>
    <row r="18" spans="2:15" x14ac:dyDescent="0.25">
      <c r="C18" t="s">
        <v>154</v>
      </c>
    </row>
  </sheetData>
  <mergeCells count="3">
    <mergeCell ref="B2:E2"/>
    <mergeCell ref="G2:J2"/>
    <mergeCell ref="L2:O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13F4-6FC1-479F-8336-43E1BB00D901}">
  <sheetPr codeName="Sheet3">
    <tabColor rgb="FF0275D8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tabColor rgb="FFFF0000"/>
  </sheetPr>
  <dimension ref="A1:K93"/>
  <sheetViews>
    <sheetView zoomScale="120" zoomScaleNormal="120" zoomScalePageLayoutView="120" workbookViewId="0">
      <pane xSplit="1" ySplit="1" topLeftCell="B50" activePane="bottomRight" state="frozen"/>
      <selection pane="topRight"/>
      <selection pane="bottomLeft"/>
      <selection pane="bottomRight" activeCell="F80" sqref="F80"/>
    </sheetView>
  </sheetViews>
  <sheetFormatPr defaultColWidth="8.85546875" defaultRowHeight="15" x14ac:dyDescent="0.25"/>
  <cols>
    <col min="1" max="1" width="27.7109375" style="3" bestFit="1" customWidth="1"/>
    <col min="2" max="11" width="13.42578125" style="3" bestFit="1" customWidth="1"/>
    <col min="12" max="16384" width="8.85546875" style="3"/>
  </cols>
  <sheetData>
    <row r="1" spans="1:11" s="1" customFormat="1" x14ac:dyDescent="0.25">
      <c r="A1" s="1" t="s">
        <v>0</v>
      </c>
      <c r="B1" s="1" t="s">
        <v>34</v>
      </c>
      <c r="E1" s="176" t="str">
        <f>IF(B2&lt;&gt;B3, "A NEW VERSION OF THE WORKSHEET IS AVAILABLE", "")</f>
        <v/>
      </c>
      <c r="F1" s="176"/>
      <c r="G1" s="176"/>
      <c r="H1" s="176"/>
      <c r="I1" s="176"/>
      <c r="J1" s="176"/>
      <c r="K1" s="176"/>
    </row>
    <row r="2" spans="1:11" x14ac:dyDescent="0.25">
      <c r="A2" s="1" t="s">
        <v>32</v>
      </c>
      <c r="B2" s="3">
        <v>2.1</v>
      </c>
      <c r="E2" s="177" t="s">
        <v>22</v>
      </c>
      <c r="F2" s="177"/>
      <c r="G2" s="177"/>
      <c r="H2" s="177"/>
      <c r="I2" s="177"/>
      <c r="J2" s="177"/>
      <c r="K2" s="177"/>
    </row>
    <row r="3" spans="1:11" x14ac:dyDescent="0.25">
      <c r="A3" s="1" t="s">
        <v>33</v>
      </c>
      <c r="B3" s="3">
        <v>2.1</v>
      </c>
    </row>
    <row r="4" spans="1:11" x14ac:dyDescent="0.25">
      <c r="A4" s="1"/>
    </row>
    <row r="5" spans="1:11" x14ac:dyDescent="0.25">
      <c r="A5" s="1" t="s">
        <v>35</v>
      </c>
    </row>
    <row r="6" spans="1:11" x14ac:dyDescent="0.25">
      <c r="A6" s="3" t="s">
        <v>28</v>
      </c>
      <c r="B6" s="3">
        <f>IF(B9&gt;0, B9/B8, 0)</f>
        <v>1353.2534914457742</v>
      </c>
    </row>
    <row r="7" spans="1:11" x14ac:dyDescent="0.25">
      <c r="A7" s="3" t="s">
        <v>17</v>
      </c>
      <c r="B7">
        <v>10</v>
      </c>
    </row>
    <row r="8" spans="1:11" x14ac:dyDescent="0.25">
      <c r="A8" s="3" t="s">
        <v>29</v>
      </c>
      <c r="B8">
        <v>1361.9</v>
      </c>
    </row>
    <row r="9" spans="1:11" x14ac:dyDescent="0.25">
      <c r="A9" s="3" t="s">
        <v>45</v>
      </c>
      <c r="B9">
        <v>1842995.93</v>
      </c>
    </row>
    <row r="15" spans="1:11" x14ac:dyDescent="0.25">
      <c r="A15" s="1" t="s">
        <v>23</v>
      </c>
    </row>
    <row r="16" spans="1:11" s="7" customFormat="1" x14ac:dyDescent="0.25">
      <c r="A16" s="6" t="s">
        <v>24</v>
      </c>
      <c r="B16" s="5">
        <v>42825</v>
      </c>
      <c r="C16" s="5">
        <v>43190</v>
      </c>
      <c r="D16" s="5">
        <v>43555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s="4" customFormat="1" x14ac:dyDescent="0.25">
      <c r="A17" s="4" t="s">
        <v>1</v>
      </c>
      <c r="B17">
        <v>303954</v>
      </c>
      <c r="C17">
        <v>390823</v>
      </c>
      <c r="D17">
        <v>568337</v>
      </c>
      <c r="E17">
        <v>596679</v>
      </c>
      <c r="F17">
        <v>466307</v>
      </c>
      <c r="G17">
        <v>694673</v>
      </c>
      <c r="H17">
        <v>876396</v>
      </c>
      <c r="I17">
        <v>899041</v>
      </c>
      <c r="J17">
        <v>962820</v>
      </c>
      <c r="K17">
        <v>1057219</v>
      </c>
    </row>
    <row r="18" spans="1:11" s="4" customFormat="1" x14ac:dyDescent="0.25">
      <c r="A18" s="3" t="s">
        <v>46</v>
      </c>
      <c r="B18">
        <v>217518</v>
      </c>
      <c r="C18">
        <v>276076</v>
      </c>
      <c r="D18">
        <v>399167</v>
      </c>
      <c r="E18">
        <v>410288</v>
      </c>
      <c r="F18">
        <v>301765</v>
      </c>
      <c r="G18">
        <v>494449</v>
      </c>
      <c r="H18">
        <v>618746</v>
      </c>
      <c r="I18">
        <v>590226</v>
      </c>
      <c r="J18">
        <v>644813</v>
      </c>
      <c r="K18">
        <v>698930</v>
      </c>
    </row>
    <row r="19" spans="1:11" s="4" customFormat="1" x14ac:dyDescent="0.25">
      <c r="A19" s="3" t="s">
        <v>47</v>
      </c>
      <c r="B19">
        <v>5218</v>
      </c>
      <c r="C19">
        <v>8610</v>
      </c>
      <c r="D19">
        <v>4680</v>
      </c>
      <c r="E19">
        <v>5048</v>
      </c>
      <c r="F19">
        <v>9064</v>
      </c>
      <c r="G19">
        <v>21457</v>
      </c>
      <c r="H19">
        <v>30263</v>
      </c>
      <c r="I19">
        <v>4883</v>
      </c>
      <c r="J19">
        <v>15124</v>
      </c>
      <c r="K19">
        <v>10267</v>
      </c>
    </row>
    <row r="20" spans="1:11" s="4" customFormat="1" x14ac:dyDescent="0.25">
      <c r="A20" s="3" t="s">
        <v>48</v>
      </c>
      <c r="B20">
        <v>11251</v>
      </c>
      <c r="C20">
        <v>14569</v>
      </c>
      <c r="D20">
        <v>17029</v>
      </c>
      <c r="E20">
        <v>15098</v>
      </c>
      <c r="F20">
        <v>13214</v>
      </c>
      <c r="G20">
        <v>17902</v>
      </c>
      <c r="H20">
        <v>25062</v>
      </c>
      <c r="I20">
        <v>22137</v>
      </c>
      <c r="J20">
        <v>23823</v>
      </c>
    </row>
    <row r="21" spans="1:11" s="4" customFormat="1" x14ac:dyDescent="0.25">
      <c r="A21" s="3" t="s">
        <v>49</v>
      </c>
      <c r="B21">
        <v>9909</v>
      </c>
      <c r="C21">
        <v>9691</v>
      </c>
      <c r="D21">
        <v>12198</v>
      </c>
      <c r="E21">
        <v>11434</v>
      </c>
      <c r="F21">
        <v>7687</v>
      </c>
      <c r="G21">
        <v>12174</v>
      </c>
      <c r="H21">
        <v>19658</v>
      </c>
      <c r="I21">
        <v>18276</v>
      </c>
      <c r="J21">
        <v>18358</v>
      </c>
    </row>
    <row r="22" spans="1:11" s="4" customFormat="1" x14ac:dyDescent="0.25">
      <c r="A22" s="3" t="s">
        <v>50</v>
      </c>
      <c r="B22">
        <v>8388</v>
      </c>
      <c r="C22">
        <v>9523</v>
      </c>
      <c r="D22">
        <v>12488</v>
      </c>
      <c r="E22">
        <v>14075</v>
      </c>
      <c r="F22">
        <v>14817</v>
      </c>
      <c r="G22">
        <v>18758</v>
      </c>
      <c r="H22">
        <v>24872</v>
      </c>
      <c r="I22">
        <v>25679</v>
      </c>
      <c r="J22">
        <v>28559</v>
      </c>
      <c r="K22">
        <v>30318</v>
      </c>
    </row>
    <row r="23" spans="1:11" s="4" customFormat="1" x14ac:dyDescent="0.25">
      <c r="A23" s="3" t="s">
        <v>51</v>
      </c>
      <c r="B23">
        <v>18520</v>
      </c>
      <c r="C23">
        <v>29111</v>
      </c>
      <c r="D23">
        <v>50221</v>
      </c>
      <c r="E23">
        <v>62622</v>
      </c>
      <c r="F23">
        <v>56154</v>
      </c>
      <c r="G23">
        <v>63513</v>
      </c>
      <c r="H23">
        <v>67369</v>
      </c>
      <c r="I23">
        <v>77292</v>
      </c>
      <c r="J23">
        <v>88760</v>
      </c>
    </row>
    <row r="24" spans="1:11" s="4" customFormat="1" x14ac:dyDescent="0.25">
      <c r="A24" s="3" t="s">
        <v>52</v>
      </c>
      <c r="B24">
        <v>-2721</v>
      </c>
      <c r="C24">
        <v>-3852</v>
      </c>
      <c r="D24">
        <v>-2336</v>
      </c>
      <c r="E24">
        <v>-1056</v>
      </c>
      <c r="F24">
        <v>944</v>
      </c>
      <c r="G24">
        <v>753</v>
      </c>
      <c r="H24">
        <v>8634</v>
      </c>
      <c r="I24">
        <v>7816</v>
      </c>
      <c r="J24">
        <v>8033</v>
      </c>
      <c r="K24">
        <v>159289</v>
      </c>
    </row>
    <row r="25" spans="1:11" s="4" customFormat="1" x14ac:dyDescent="0.25">
      <c r="A25" s="4" t="s">
        <v>4</v>
      </c>
      <c r="B25">
        <v>9222</v>
      </c>
      <c r="C25">
        <v>9869</v>
      </c>
      <c r="D25">
        <v>8406</v>
      </c>
      <c r="E25">
        <v>8570</v>
      </c>
      <c r="F25">
        <v>22432</v>
      </c>
      <c r="G25">
        <v>19600</v>
      </c>
      <c r="H25">
        <v>12020</v>
      </c>
      <c r="I25">
        <v>15792</v>
      </c>
      <c r="J25">
        <v>17824</v>
      </c>
      <c r="K25">
        <v>28962</v>
      </c>
    </row>
    <row r="26" spans="1:11" s="4" customFormat="1" x14ac:dyDescent="0.25">
      <c r="A26" s="4" t="s">
        <v>5</v>
      </c>
      <c r="B26">
        <v>11646</v>
      </c>
      <c r="C26">
        <v>16706</v>
      </c>
      <c r="D26">
        <v>20934</v>
      </c>
      <c r="E26">
        <v>22203</v>
      </c>
      <c r="F26">
        <v>26572</v>
      </c>
      <c r="G26">
        <v>29782</v>
      </c>
      <c r="H26">
        <v>40303</v>
      </c>
      <c r="I26">
        <v>50832</v>
      </c>
      <c r="J26">
        <v>53136</v>
      </c>
      <c r="K26">
        <v>57688</v>
      </c>
    </row>
    <row r="27" spans="1:11" s="4" customFormat="1" x14ac:dyDescent="0.25">
      <c r="A27" s="4" t="s">
        <v>6</v>
      </c>
      <c r="B27">
        <v>3849</v>
      </c>
      <c r="C27">
        <v>8052</v>
      </c>
      <c r="D27">
        <v>16495</v>
      </c>
      <c r="E27">
        <v>22027</v>
      </c>
      <c r="F27">
        <v>21189</v>
      </c>
      <c r="G27">
        <v>14584</v>
      </c>
      <c r="H27">
        <v>19571</v>
      </c>
      <c r="I27">
        <v>23118</v>
      </c>
      <c r="J27">
        <v>24269</v>
      </c>
      <c r="K27">
        <v>27061</v>
      </c>
    </row>
    <row r="28" spans="1:11" s="4" customFormat="1" x14ac:dyDescent="0.25">
      <c r="A28" s="4" t="s">
        <v>7</v>
      </c>
      <c r="B28">
        <v>40034</v>
      </c>
      <c r="C28">
        <v>49426</v>
      </c>
      <c r="D28">
        <v>55227</v>
      </c>
      <c r="E28">
        <v>53606</v>
      </c>
      <c r="F28">
        <v>55461</v>
      </c>
      <c r="G28">
        <v>83815</v>
      </c>
      <c r="H28">
        <v>94464</v>
      </c>
      <c r="I28">
        <v>104340</v>
      </c>
      <c r="J28">
        <v>106017</v>
      </c>
      <c r="K28">
        <v>123162</v>
      </c>
    </row>
    <row r="29" spans="1:11" s="4" customFormat="1" x14ac:dyDescent="0.25">
      <c r="A29" s="4" t="s">
        <v>8</v>
      </c>
      <c r="B29">
        <v>10201</v>
      </c>
      <c r="C29">
        <v>13346</v>
      </c>
      <c r="D29">
        <v>15390</v>
      </c>
      <c r="E29">
        <v>13726</v>
      </c>
      <c r="F29">
        <v>1722</v>
      </c>
      <c r="G29">
        <v>15970</v>
      </c>
      <c r="H29">
        <v>20376</v>
      </c>
      <c r="I29">
        <v>25707</v>
      </c>
      <c r="J29">
        <v>25230</v>
      </c>
      <c r="K29">
        <v>27552</v>
      </c>
    </row>
    <row r="30" spans="1:11" s="4" customFormat="1" x14ac:dyDescent="0.25">
      <c r="A30" s="4" t="s">
        <v>9</v>
      </c>
      <c r="B30">
        <v>29901</v>
      </c>
      <c r="C30">
        <v>36075</v>
      </c>
      <c r="D30">
        <v>39588</v>
      </c>
      <c r="E30">
        <v>39354</v>
      </c>
      <c r="F30">
        <v>49128</v>
      </c>
      <c r="G30">
        <v>60705</v>
      </c>
      <c r="H30">
        <v>66702</v>
      </c>
      <c r="I30">
        <v>69621</v>
      </c>
      <c r="J30">
        <v>69648</v>
      </c>
      <c r="K30">
        <v>80775</v>
      </c>
    </row>
    <row r="31" spans="1:11" s="4" customFormat="1" x14ac:dyDescent="0.25">
      <c r="A31" s="4" t="s">
        <v>36</v>
      </c>
      <c r="B31">
        <v>3254.9</v>
      </c>
      <c r="C31">
        <v>3553.2</v>
      </c>
      <c r="D31">
        <v>3851.9</v>
      </c>
      <c r="E31">
        <v>4120.3500000000004</v>
      </c>
      <c r="F31">
        <v>4511.5</v>
      </c>
      <c r="G31">
        <v>5412</v>
      </c>
      <c r="H31">
        <v>6089.4</v>
      </c>
      <c r="I31">
        <v>6766</v>
      </c>
      <c r="J31">
        <v>7442.6</v>
      </c>
      <c r="K31">
        <v>8119.2</v>
      </c>
    </row>
    <row r="32" spans="1:11" s="4" customFormat="1" x14ac:dyDescent="0.25"/>
    <row r="33" spans="1:11" x14ac:dyDescent="0.25">
      <c r="A33" s="4"/>
    </row>
    <row r="34" spans="1:11" x14ac:dyDescent="0.25">
      <c r="A34" s="4"/>
    </row>
    <row r="35" spans="1:11" x14ac:dyDescent="0.25">
      <c r="A35" s="4"/>
    </row>
    <row r="36" spans="1:11" x14ac:dyDescent="0.25">
      <c r="A36" s="4"/>
    </row>
    <row r="37" spans="1:11" x14ac:dyDescent="0.25">
      <c r="A37" s="4"/>
    </row>
    <row r="38" spans="1:11" x14ac:dyDescent="0.25">
      <c r="A38" s="4"/>
    </row>
    <row r="39" spans="1:11" x14ac:dyDescent="0.25">
      <c r="A39" s="4"/>
    </row>
    <row r="40" spans="1:11" x14ac:dyDescent="0.25">
      <c r="A40" s="1" t="s">
        <v>25</v>
      </c>
    </row>
    <row r="41" spans="1:11" s="7" customFormat="1" x14ac:dyDescent="0.25">
      <c r="A41" s="6" t="s">
        <v>24</v>
      </c>
      <c r="B41" s="5">
        <v>45291</v>
      </c>
      <c r="C41" s="5">
        <v>45382</v>
      </c>
      <c r="D41" s="5">
        <v>45473</v>
      </c>
      <c r="E41" s="5">
        <v>45565</v>
      </c>
      <c r="F41" s="5">
        <v>45657</v>
      </c>
      <c r="G41" s="5">
        <v>45747</v>
      </c>
      <c r="H41" s="5">
        <v>45838</v>
      </c>
      <c r="I41" s="5">
        <v>45930</v>
      </c>
      <c r="J41" s="5">
        <v>46022</v>
      </c>
      <c r="K41" s="5">
        <v>46112</v>
      </c>
    </row>
    <row r="42" spans="1:11" s="4" customFormat="1" x14ac:dyDescent="0.25">
      <c r="A42" s="4" t="s">
        <v>1</v>
      </c>
      <c r="B42">
        <v>225086</v>
      </c>
      <c r="C42">
        <v>236533</v>
      </c>
      <c r="D42">
        <v>231784</v>
      </c>
      <c r="E42">
        <v>231535</v>
      </c>
      <c r="F42">
        <v>239986</v>
      </c>
      <c r="G42">
        <v>261388</v>
      </c>
      <c r="H42">
        <v>243632</v>
      </c>
      <c r="I42">
        <v>254623</v>
      </c>
      <c r="J42">
        <v>264905</v>
      </c>
      <c r="K42">
        <v>294059</v>
      </c>
    </row>
    <row r="43" spans="1:11" s="4" customFormat="1" x14ac:dyDescent="0.25">
      <c r="A43" s="4" t="s">
        <v>2</v>
      </c>
      <c r="B43">
        <v>184430</v>
      </c>
      <c r="C43">
        <v>194017</v>
      </c>
      <c r="D43">
        <v>193019</v>
      </c>
      <c r="E43">
        <v>192477</v>
      </c>
      <c r="F43">
        <v>196197</v>
      </c>
      <c r="G43">
        <v>217556</v>
      </c>
      <c r="H43">
        <v>200727</v>
      </c>
      <c r="I43">
        <v>208738</v>
      </c>
      <c r="J43">
        <v>218887</v>
      </c>
      <c r="K43">
        <v>249918</v>
      </c>
    </row>
    <row r="44" spans="1:11" s="4" customFormat="1" x14ac:dyDescent="0.25">
      <c r="A44" s="4" t="s">
        <v>4</v>
      </c>
      <c r="B44">
        <v>3869</v>
      </c>
      <c r="C44">
        <v>4534</v>
      </c>
      <c r="D44">
        <v>3983</v>
      </c>
      <c r="E44">
        <v>4876</v>
      </c>
      <c r="F44">
        <v>4214</v>
      </c>
      <c r="G44">
        <v>4905</v>
      </c>
      <c r="H44">
        <v>15119</v>
      </c>
      <c r="I44">
        <v>4482</v>
      </c>
      <c r="J44">
        <v>4914</v>
      </c>
      <c r="K44">
        <v>4447</v>
      </c>
    </row>
    <row r="45" spans="1:11" s="4" customFormat="1" x14ac:dyDescent="0.25">
      <c r="A45" s="4" t="s">
        <v>5</v>
      </c>
      <c r="B45">
        <v>12903</v>
      </c>
      <c r="C45">
        <v>13569</v>
      </c>
      <c r="D45">
        <v>13596</v>
      </c>
      <c r="E45">
        <v>12880</v>
      </c>
      <c r="F45">
        <v>13181</v>
      </c>
      <c r="G45">
        <v>13479</v>
      </c>
      <c r="H45">
        <v>13842</v>
      </c>
      <c r="I45">
        <v>14416</v>
      </c>
      <c r="J45">
        <v>14622</v>
      </c>
      <c r="K45">
        <v>14808</v>
      </c>
    </row>
    <row r="46" spans="1:11" s="4" customFormat="1" x14ac:dyDescent="0.25">
      <c r="A46" s="4" t="s">
        <v>6</v>
      </c>
      <c r="B46">
        <v>5789</v>
      </c>
      <c r="C46">
        <v>5761</v>
      </c>
      <c r="D46">
        <v>5918</v>
      </c>
      <c r="E46">
        <v>6017</v>
      </c>
      <c r="F46">
        <v>6179</v>
      </c>
      <c r="G46">
        <v>6155</v>
      </c>
      <c r="H46">
        <v>7036</v>
      </c>
      <c r="I46">
        <v>6827</v>
      </c>
      <c r="J46">
        <v>6613</v>
      </c>
      <c r="K46">
        <v>6585</v>
      </c>
    </row>
    <row r="47" spans="1:11" s="4" customFormat="1" x14ac:dyDescent="0.25">
      <c r="A47" s="4" t="s">
        <v>7</v>
      </c>
      <c r="B47">
        <v>25833</v>
      </c>
      <c r="C47">
        <v>27720</v>
      </c>
      <c r="D47">
        <v>23234</v>
      </c>
      <c r="E47">
        <v>25037</v>
      </c>
      <c r="F47">
        <v>28643</v>
      </c>
      <c r="G47">
        <v>29103</v>
      </c>
      <c r="H47">
        <v>37146</v>
      </c>
      <c r="I47">
        <v>29124</v>
      </c>
      <c r="J47">
        <v>29697</v>
      </c>
      <c r="K47">
        <v>27195</v>
      </c>
    </row>
    <row r="48" spans="1:11" s="4" customFormat="1" x14ac:dyDescent="0.25">
      <c r="A48" s="4" t="s">
        <v>8</v>
      </c>
      <c r="B48">
        <v>6345</v>
      </c>
      <c r="C48">
        <v>6577</v>
      </c>
      <c r="D48">
        <v>5786</v>
      </c>
      <c r="E48">
        <v>5936</v>
      </c>
      <c r="F48">
        <v>6839</v>
      </c>
      <c r="G48">
        <v>6669</v>
      </c>
      <c r="H48">
        <v>6465</v>
      </c>
      <c r="I48">
        <v>6978</v>
      </c>
      <c r="J48">
        <v>7530</v>
      </c>
      <c r="K48">
        <v>6579</v>
      </c>
    </row>
    <row r="49" spans="1:11" s="4" customFormat="1" x14ac:dyDescent="0.25">
      <c r="A49" s="4" t="s">
        <v>9</v>
      </c>
      <c r="B49">
        <v>17265</v>
      </c>
      <c r="C49">
        <v>18951</v>
      </c>
      <c r="D49">
        <v>15138</v>
      </c>
      <c r="E49">
        <v>16563</v>
      </c>
      <c r="F49">
        <v>18540</v>
      </c>
      <c r="G49">
        <v>19407</v>
      </c>
      <c r="H49">
        <v>26994</v>
      </c>
      <c r="I49">
        <v>18165</v>
      </c>
      <c r="J49">
        <v>18645</v>
      </c>
      <c r="K49">
        <v>16971</v>
      </c>
    </row>
    <row r="50" spans="1:11" x14ac:dyDescent="0.25">
      <c r="A50" s="4" t="s">
        <v>3</v>
      </c>
      <c r="B50">
        <v>40656</v>
      </c>
      <c r="C50">
        <v>42516</v>
      </c>
      <c r="D50">
        <v>38765</v>
      </c>
      <c r="E50">
        <v>39058</v>
      </c>
      <c r="F50">
        <v>43789</v>
      </c>
      <c r="G50">
        <v>43832</v>
      </c>
      <c r="H50">
        <v>42905</v>
      </c>
      <c r="I50">
        <v>45885</v>
      </c>
      <c r="J50">
        <v>46018</v>
      </c>
      <c r="K50">
        <v>44141</v>
      </c>
    </row>
    <row r="51" spans="1:11" x14ac:dyDescent="0.25">
      <c r="A51" s="4"/>
    </row>
    <row r="52" spans="1:11" x14ac:dyDescent="0.25">
      <c r="A52" s="4"/>
    </row>
    <row r="53" spans="1:11" x14ac:dyDescent="0.25">
      <c r="A53" s="4"/>
    </row>
    <row r="54" spans="1:11" x14ac:dyDescent="0.25">
      <c r="A54" s="4"/>
    </row>
    <row r="55" spans="1:11" x14ac:dyDescent="0.25">
      <c r="A55" s="1" t="s">
        <v>26</v>
      </c>
    </row>
    <row r="56" spans="1:11" s="7" customFormat="1" x14ac:dyDescent="0.25">
      <c r="A56" s="6" t="s">
        <v>24</v>
      </c>
      <c r="B56" s="5">
        <v>42825</v>
      </c>
      <c r="C56" s="5">
        <v>43190</v>
      </c>
      <c r="D56" s="5">
        <v>43555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 x14ac:dyDescent="0.25">
      <c r="A57" s="4" t="s">
        <v>11</v>
      </c>
      <c r="B57">
        <v>2959</v>
      </c>
      <c r="C57">
        <v>5922</v>
      </c>
      <c r="D57">
        <v>5926</v>
      </c>
      <c r="E57">
        <v>6339</v>
      </c>
      <c r="F57">
        <v>6445</v>
      </c>
      <c r="G57">
        <v>6765</v>
      </c>
      <c r="H57">
        <v>6766</v>
      </c>
      <c r="I57">
        <v>6766</v>
      </c>
      <c r="J57">
        <v>13532</v>
      </c>
      <c r="K57">
        <v>13532</v>
      </c>
    </row>
    <row r="58" spans="1:11" x14ac:dyDescent="0.25">
      <c r="A58" s="4" t="s">
        <v>12</v>
      </c>
      <c r="B58">
        <v>260750</v>
      </c>
      <c r="C58">
        <v>287584</v>
      </c>
      <c r="D58">
        <v>381186</v>
      </c>
      <c r="E58">
        <v>442827</v>
      </c>
      <c r="F58">
        <v>693727</v>
      </c>
      <c r="G58">
        <v>772720</v>
      </c>
      <c r="H58">
        <v>709106</v>
      </c>
      <c r="I58">
        <v>786715</v>
      </c>
      <c r="J58">
        <v>829668</v>
      </c>
      <c r="K58">
        <v>890498</v>
      </c>
    </row>
    <row r="59" spans="1:11" x14ac:dyDescent="0.25">
      <c r="A59" s="4" t="s">
        <v>37</v>
      </c>
      <c r="B59">
        <v>217475</v>
      </c>
      <c r="C59">
        <v>239843</v>
      </c>
      <c r="D59">
        <v>307714</v>
      </c>
      <c r="E59">
        <v>355133</v>
      </c>
      <c r="F59">
        <v>278962</v>
      </c>
      <c r="G59">
        <v>319158</v>
      </c>
      <c r="H59">
        <v>451664</v>
      </c>
      <c r="I59">
        <v>350719</v>
      </c>
      <c r="J59">
        <v>374313</v>
      </c>
      <c r="K59">
        <v>398000</v>
      </c>
    </row>
    <row r="60" spans="1:11" x14ac:dyDescent="0.25">
      <c r="A60" s="4" t="s">
        <v>38</v>
      </c>
      <c r="B60">
        <v>225618</v>
      </c>
      <c r="C60">
        <v>277924</v>
      </c>
      <c r="D60">
        <v>302804</v>
      </c>
      <c r="E60">
        <v>358716</v>
      </c>
      <c r="F60">
        <v>340931</v>
      </c>
      <c r="G60">
        <v>399979</v>
      </c>
      <c r="H60">
        <v>438346</v>
      </c>
      <c r="I60">
        <v>610848</v>
      </c>
      <c r="J60">
        <v>732200</v>
      </c>
      <c r="K60">
        <v>876110</v>
      </c>
    </row>
    <row r="61" spans="1:11" s="1" customFormat="1" x14ac:dyDescent="0.25">
      <c r="A61" s="1" t="s">
        <v>13</v>
      </c>
      <c r="B61">
        <v>706802</v>
      </c>
      <c r="C61">
        <v>811273</v>
      </c>
      <c r="D61">
        <v>997630</v>
      </c>
      <c r="E61">
        <v>1163015</v>
      </c>
      <c r="F61">
        <v>1320065</v>
      </c>
      <c r="G61">
        <v>1498622</v>
      </c>
      <c r="H61">
        <v>1605882</v>
      </c>
      <c r="I61">
        <v>1755048</v>
      </c>
      <c r="J61">
        <v>1949713</v>
      </c>
      <c r="K61">
        <v>2178140</v>
      </c>
    </row>
    <row r="62" spans="1:11" x14ac:dyDescent="0.25">
      <c r="A62" s="4" t="s">
        <v>14</v>
      </c>
      <c r="B62">
        <v>198526</v>
      </c>
      <c r="C62">
        <v>403885</v>
      </c>
      <c r="D62">
        <v>398374</v>
      </c>
      <c r="E62">
        <v>532658</v>
      </c>
      <c r="F62">
        <v>541258</v>
      </c>
      <c r="G62">
        <v>627798</v>
      </c>
      <c r="H62">
        <v>724805</v>
      </c>
      <c r="I62">
        <v>779985</v>
      </c>
      <c r="J62">
        <v>999393</v>
      </c>
      <c r="K62">
        <v>1170194</v>
      </c>
    </row>
    <row r="63" spans="1:11" x14ac:dyDescent="0.25">
      <c r="A63" s="4" t="s">
        <v>15</v>
      </c>
      <c r="B63">
        <v>324837</v>
      </c>
      <c r="C63">
        <v>187022</v>
      </c>
      <c r="D63">
        <v>179463</v>
      </c>
      <c r="E63">
        <v>109106</v>
      </c>
      <c r="F63">
        <v>125953</v>
      </c>
      <c r="G63">
        <v>172506</v>
      </c>
      <c r="H63">
        <v>293752</v>
      </c>
      <c r="I63">
        <v>338855</v>
      </c>
      <c r="J63">
        <v>262358</v>
      </c>
      <c r="K63">
        <v>192287</v>
      </c>
    </row>
    <row r="64" spans="1:11" x14ac:dyDescent="0.25">
      <c r="A64" s="4" t="s">
        <v>16</v>
      </c>
      <c r="B64">
        <v>82899</v>
      </c>
      <c r="C64">
        <v>82862</v>
      </c>
      <c r="D64">
        <v>235635</v>
      </c>
      <c r="E64">
        <v>276767</v>
      </c>
      <c r="F64">
        <v>364828</v>
      </c>
      <c r="G64">
        <v>394264</v>
      </c>
      <c r="H64">
        <v>235560</v>
      </c>
      <c r="I64">
        <v>225672</v>
      </c>
      <c r="J64">
        <v>242381</v>
      </c>
      <c r="K64">
        <v>248332</v>
      </c>
    </row>
    <row r="65" spans="1:11" x14ac:dyDescent="0.25">
      <c r="A65" s="4" t="s">
        <v>39</v>
      </c>
      <c r="B65">
        <v>100540</v>
      </c>
      <c r="C65">
        <v>137504</v>
      </c>
      <c r="D65">
        <v>184158</v>
      </c>
      <c r="E65">
        <v>244484</v>
      </c>
      <c r="F65">
        <v>288026</v>
      </c>
      <c r="G65">
        <v>304054</v>
      </c>
      <c r="H65">
        <v>351765</v>
      </c>
      <c r="I65">
        <v>410536</v>
      </c>
      <c r="J65">
        <v>445581</v>
      </c>
      <c r="K65">
        <v>567327</v>
      </c>
    </row>
    <row r="66" spans="1:11" s="1" customFormat="1" x14ac:dyDescent="0.25">
      <c r="A66" s="1" t="s">
        <v>13</v>
      </c>
      <c r="B66">
        <v>706802</v>
      </c>
      <c r="C66">
        <v>811273</v>
      </c>
      <c r="D66">
        <v>997630</v>
      </c>
      <c r="E66">
        <v>1163015</v>
      </c>
      <c r="F66">
        <v>1320065</v>
      </c>
      <c r="G66">
        <v>1498622</v>
      </c>
      <c r="H66">
        <v>1605882</v>
      </c>
      <c r="I66">
        <v>1755048</v>
      </c>
      <c r="J66">
        <v>1949713</v>
      </c>
      <c r="K66">
        <v>2178140</v>
      </c>
    </row>
    <row r="67" spans="1:11" s="4" customFormat="1" x14ac:dyDescent="0.25">
      <c r="A67" s="4" t="s">
        <v>44</v>
      </c>
      <c r="B67">
        <v>8177</v>
      </c>
      <c r="C67">
        <v>17555</v>
      </c>
      <c r="D67">
        <v>30089</v>
      </c>
      <c r="E67">
        <v>19656</v>
      </c>
      <c r="F67">
        <v>19014</v>
      </c>
      <c r="G67">
        <v>23640</v>
      </c>
      <c r="H67">
        <v>28448</v>
      </c>
      <c r="I67">
        <v>31628</v>
      </c>
      <c r="J67">
        <v>42121</v>
      </c>
      <c r="K67">
        <v>58491</v>
      </c>
    </row>
    <row r="68" spans="1:11" x14ac:dyDescent="0.25">
      <c r="A68" s="4" t="s">
        <v>30</v>
      </c>
      <c r="B68">
        <v>48951</v>
      </c>
      <c r="C68">
        <v>60837</v>
      </c>
      <c r="D68">
        <v>67561</v>
      </c>
      <c r="E68">
        <v>73903</v>
      </c>
      <c r="F68">
        <v>81672</v>
      </c>
      <c r="G68">
        <v>107778</v>
      </c>
      <c r="H68">
        <v>140008</v>
      </c>
      <c r="I68">
        <v>152770</v>
      </c>
      <c r="J68">
        <v>146062</v>
      </c>
      <c r="K68">
        <v>166941</v>
      </c>
    </row>
    <row r="69" spans="1:11" x14ac:dyDescent="0.25">
      <c r="A69" s="3" t="s">
        <v>53</v>
      </c>
      <c r="B69">
        <v>3023</v>
      </c>
      <c r="C69">
        <v>4255</v>
      </c>
      <c r="D69">
        <v>11081</v>
      </c>
      <c r="E69">
        <v>30920</v>
      </c>
      <c r="F69">
        <v>17397</v>
      </c>
      <c r="G69">
        <v>36178</v>
      </c>
      <c r="H69">
        <v>68664</v>
      </c>
      <c r="I69">
        <v>97225</v>
      </c>
      <c r="J69">
        <v>106502</v>
      </c>
      <c r="K69">
        <v>145977</v>
      </c>
    </row>
    <row r="70" spans="1:11" x14ac:dyDescent="0.25">
      <c r="A70" s="3" t="s">
        <v>40</v>
      </c>
      <c r="B70">
        <v>2958924277</v>
      </c>
      <c r="C70">
        <v>5921826196</v>
      </c>
      <c r="D70">
        <v>5925868997</v>
      </c>
      <c r="E70">
        <v>6338693823</v>
      </c>
      <c r="F70">
        <v>6762068814</v>
      </c>
      <c r="G70">
        <v>6765994014</v>
      </c>
      <c r="H70">
        <v>6766094014</v>
      </c>
      <c r="I70">
        <v>6766094014</v>
      </c>
      <c r="J70">
        <v>13532515463</v>
      </c>
    </row>
    <row r="71" spans="1:11" x14ac:dyDescent="0.25">
      <c r="A71" s="3" t="s">
        <v>41</v>
      </c>
      <c r="C71">
        <v>2959863235</v>
      </c>
      <c r="D71">
        <v>2959863235</v>
      </c>
      <c r="J71">
        <v>6766186449</v>
      </c>
    </row>
    <row r="72" spans="1:11" x14ac:dyDescent="0.25">
      <c r="A72" s="3" t="s">
        <v>54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25">
      <c r="A74" s="4"/>
      <c r="B74" s="3">
        <f>B65-SUM(B67:B69)</f>
        <v>40389</v>
      </c>
      <c r="C74" s="3">
        <f t="shared" ref="C74:K74" si="0">C65-SUM(C67:C69)</f>
        <v>54857</v>
      </c>
      <c r="D74" s="3">
        <f t="shared" si="0"/>
        <v>75427</v>
      </c>
      <c r="E74" s="3">
        <f t="shared" si="0"/>
        <v>120005</v>
      </c>
      <c r="F74" s="3">
        <f t="shared" si="0"/>
        <v>169943</v>
      </c>
      <c r="G74" s="3">
        <f t="shared" si="0"/>
        <v>136458</v>
      </c>
      <c r="H74" s="3">
        <f t="shared" si="0"/>
        <v>114645</v>
      </c>
      <c r="I74" s="3">
        <f t="shared" si="0"/>
        <v>128913</v>
      </c>
      <c r="J74" s="3">
        <f t="shared" si="0"/>
        <v>150896</v>
      </c>
      <c r="K74" s="3">
        <f t="shared" si="0"/>
        <v>195918</v>
      </c>
    </row>
    <row r="75" spans="1:11" x14ac:dyDescent="0.25">
      <c r="A75" s="4" t="s">
        <v>85</v>
      </c>
      <c r="B75" s="3">
        <f>B61</f>
        <v>706802</v>
      </c>
      <c r="C75" s="3">
        <f t="shared" ref="C75:K75" si="1">C61</f>
        <v>811273</v>
      </c>
      <c r="D75" s="3">
        <f t="shared" si="1"/>
        <v>997630</v>
      </c>
      <c r="E75" s="3">
        <f t="shared" si="1"/>
        <v>1163015</v>
      </c>
      <c r="F75" s="3">
        <f t="shared" si="1"/>
        <v>1320065</v>
      </c>
      <c r="G75" s="3">
        <f t="shared" si="1"/>
        <v>1498622</v>
      </c>
      <c r="H75" s="3">
        <f t="shared" si="1"/>
        <v>1605882</v>
      </c>
      <c r="I75" s="3">
        <f t="shared" si="1"/>
        <v>1755048</v>
      </c>
      <c r="J75" s="3">
        <f t="shared" si="1"/>
        <v>1949713</v>
      </c>
      <c r="K75" s="3">
        <f t="shared" si="1"/>
        <v>2178140</v>
      </c>
    </row>
    <row r="76" spans="1:11" x14ac:dyDescent="0.25">
      <c r="A76" s="4"/>
    </row>
    <row r="77" spans="1:11" x14ac:dyDescent="0.25">
      <c r="A77" s="4"/>
    </row>
    <row r="78" spans="1:11" x14ac:dyDescent="0.25">
      <c r="A78" s="4"/>
    </row>
    <row r="79" spans="1:11" x14ac:dyDescent="0.25">
      <c r="A79" s="4"/>
    </row>
    <row r="80" spans="1:11" x14ac:dyDescent="0.25">
      <c r="A80" s="1" t="s">
        <v>27</v>
      </c>
    </row>
    <row r="81" spans="1:11" s="7" customFormat="1" x14ac:dyDescent="0.25">
      <c r="A81" s="6" t="s">
        <v>24</v>
      </c>
      <c r="B81" s="5">
        <v>42825</v>
      </c>
      <c r="C81" s="5">
        <v>43190</v>
      </c>
      <c r="D81" s="5">
        <v>43555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</row>
    <row r="82" spans="1:11" s="1" customFormat="1" x14ac:dyDescent="0.25">
      <c r="A82" s="4" t="s">
        <v>18</v>
      </c>
      <c r="B82">
        <v>49550</v>
      </c>
      <c r="C82">
        <v>71459</v>
      </c>
      <c r="D82">
        <v>42346</v>
      </c>
      <c r="E82">
        <v>94877</v>
      </c>
      <c r="F82">
        <v>26958</v>
      </c>
      <c r="G82">
        <v>110654</v>
      </c>
      <c r="H82">
        <v>115032</v>
      </c>
      <c r="I82">
        <v>158788</v>
      </c>
      <c r="J82">
        <v>178703</v>
      </c>
      <c r="K82">
        <v>192113</v>
      </c>
    </row>
    <row r="83" spans="1:11" s="4" customFormat="1" x14ac:dyDescent="0.25">
      <c r="A83" s="4" t="s">
        <v>19</v>
      </c>
      <c r="B83">
        <v>-66201</v>
      </c>
      <c r="C83">
        <v>-68192</v>
      </c>
      <c r="D83">
        <v>-94507</v>
      </c>
      <c r="E83">
        <v>-72497</v>
      </c>
      <c r="F83">
        <v>-142385</v>
      </c>
      <c r="G83">
        <v>-109162</v>
      </c>
      <c r="H83">
        <v>-93001</v>
      </c>
      <c r="I83">
        <v>-113581</v>
      </c>
      <c r="J83">
        <v>-137535</v>
      </c>
      <c r="K83">
        <v>-101089</v>
      </c>
    </row>
    <row r="84" spans="1:11" s="4" customFormat="1" x14ac:dyDescent="0.25">
      <c r="A84" s="4" t="s">
        <v>20</v>
      </c>
      <c r="B84">
        <v>8617</v>
      </c>
      <c r="C84">
        <v>-2001</v>
      </c>
      <c r="D84">
        <v>55906</v>
      </c>
      <c r="E84">
        <v>-2541</v>
      </c>
      <c r="F84">
        <v>101904</v>
      </c>
      <c r="G84">
        <v>17289</v>
      </c>
      <c r="H84">
        <v>10455</v>
      </c>
      <c r="I84">
        <v>-16646</v>
      </c>
      <c r="J84">
        <v>-31891</v>
      </c>
      <c r="K84">
        <v>-51549</v>
      </c>
    </row>
    <row r="85" spans="1:11" s="1" customFormat="1" x14ac:dyDescent="0.25">
      <c r="A85" s="4" t="s">
        <v>21</v>
      </c>
      <c r="B85">
        <v>-8034</v>
      </c>
      <c r="C85">
        <v>1266</v>
      </c>
      <c r="D85">
        <v>3745</v>
      </c>
      <c r="E85">
        <v>19839</v>
      </c>
      <c r="F85">
        <v>-13523</v>
      </c>
      <c r="G85">
        <v>18781</v>
      </c>
      <c r="H85">
        <v>32486</v>
      </c>
      <c r="I85">
        <v>28561</v>
      </c>
      <c r="J85">
        <v>9277</v>
      </c>
      <c r="K85">
        <v>39475</v>
      </c>
    </row>
    <row r="86" spans="1:11" x14ac:dyDescent="0.25">
      <c r="A86" s="4"/>
    </row>
    <row r="87" spans="1:11" x14ac:dyDescent="0.25">
      <c r="A87" s="4"/>
    </row>
    <row r="88" spans="1:11" x14ac:dyDescent="0.25">
      <c r="A88" s="4"/>
    </row>
    <row r="89" spans="1:11" x14ac:dyDescent="0.25">
      <c r="A89" s="4"/>
    </row>
    <row r="90" spans="1:11" s="1" customFormat="1" x14ac:dyDescent="0.25">
      <c r="A90" s="1" t="s">
        <v>43</v>
      </c>
      <c r="B90">
        <v>300.08999999999997</v>
      </c>
      <c r="C90">
        <v>401.08</v>
      </c>
      <c r="D90">
        <v>619.42999999999995</v>
      </c>
      <c r="E90">
        <v>506.06</v>
      </c>
      <c r="F90">
        <v>918.78</v>
      </c>
      <c r="G90">
        <v>1208.51</v>
      </c>
      <c r="H90">
        <v>1069.21</v>
      </c>
      <c r="I90">
        <v>1485.85</v>
      </c>
      <c r="J90">
        <v>1275.0999999999999</v>
      </c>
      <c r="K90">
        <v>1343.9</v>
      </c>
    </row>
    <row r="92" spans="1:11" s="1" customFormat="1" x14ac:dyDescent="0.25">
      <c r="A92" s="1" t="s">
        <v>42</v>
      </c>
    </row>
    <row r="93" spans="1:11" x14ac:dyDescent="0.25">
      <c r="A93" s="3" t="s">
        <v>55</v>
      </c>
      <c r="B93" s="8">
        <v>1387.22</v>
      </c>
      <c r="C93" s="8">
        <v>1351.39</v>
      </c>
      <c r="D93" s="8">
        <v>1352.26</v>
      </c>
      <c r="E93" s="8">
        <v>1352.37</v>
      </c>
      <c r="F93" s="8">
        <v>1267.8900000000001</v>
      </c>
      <c r="G93" s="8">
        <v>1352.98</v>
      </c>
      <c r="H93" s="8">
        <v>1353.12</v>
      </c>
      <c r="I93" s="8">
        <v>1353.14</v>
      </c>
      <c r="J93" s="8">
        <v>1353.24</v>
      </c>
      <c r="K93" s="8">
        <v>1353.25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5DD1F-CDB7-4E02-93AB-C5A8A8700DD5}">
  <sheetPr>
    <tabColor rgb="FFFF0000"/>
  </sheetPr>
  <dimension ref="B2:M31"/>
  <sheetViews>
    <sheetView showGridLines="0" workbookViewId="0">
      <selection activeCell="F35" sqref="F35"/>
    </sheetView>
  </sheetViews>
  <sheetFormatPr defaultRowHeight="15" x14ac:dyDescent="0.25"/>
  <cols>
    <col min="2" max="2" width="36.85546875" bestFit="1" customWidth="1"/>
    <col min="3" max="5" width="14.7109375" bestFit="1" customWidth="1"/>
    <col min="6" max="7" width="15.85546875" bestFit="1" customWidth="1"/>
    <col min="8" max="13" width="14.7109375" bestFit="1" customWidth="1"/>
  </cols>
  <sheetData>
    <row r="2" spans="2:13" x14ac:dyDescent="0.25">
      <c r="B2" s="147"/>
      <c r="C2" s="146">
        <v>42795</v>
      </c>
      <c r="D2" s="146">
        <v>43160</v>
      </c>
      <c r="E2" s="146">
        <v>43525</v>
      </c>
      <c r="F2" s="146">
        <v>43891</v>
      </c>
      <c r="G2" s="146">
        <v>44256</v>
      </c>
      <c r="H2" s="146">
        <v>44621</v>
      </c>
      <c r="I2" s="146">
        <v>44986</v>
      </c>
      <c r="J2" s="146">
        <v>45352</v>
      </c>
      <c r="K2" s="146">
        <v>45717</v>
      </c>
      <c r="L2" s="146">
        <v>46082</v>
      </c>
      <c r="M2" s="148"/>
    </row>
    <row r="3" spans="2:13" x14ac:dyDescent="0.25">
      <c r="B3" s="149" t="s">
        <v>277</v>
      </c>
      <c r="C3" s="150">
        <v>38134</v>
      </c>
      <c r="D3" s="150">
        <v>49550</v>
      </c>
      <c r="E3" s="150">
        <v>71459</v>
      </c>
      <c r="F3" s="150">
        <v>42346</v>
      </c>
      <c r="G3" s="150">
        <v>94877</v>
      </c>
      <c r="H3" s="150">
        <v>26958</v>
      </c>
      <c r="I3" s="150">
        <v>110654</v>
      </c>
      <c r="J3" s="150">
        <v>115032</v>
      </c>
      <c r="K3" s="150">
        <v>158788</v>
      </c>
      <c r="L3" s="150">
        <v>178703</v>
      </c>
      <c r="M3" s="151">
        <v>192113</v>
      </c>
    </row>
    <row r="4" spans="2:13" x14ac:dyDescent="0.25">
      <c r="B4" s="152" t="s">
        <v>87</v>
      </c>
      <c r="C4" s="153">
        <v>38887</v>
      </c>
      <c r="D4" s="153">
        <v>44170</v>
      </c>
      <c r="E4" s="153">
        <v>62765</v>
      </c>
      <c r="F4" s="153">
        <v>83319</v>
      </c>
      <c r="G4" s="153">
        <v>85347</v>
      </c>
      <c r="H4" s="153">
        <v>80129</v>
      </c>
      <c r="I4" s="153">
        <v>113726</v>
      </c>
      <c r="J4" s="153">
        <v>140963</v>
      </c>
      <c r="K4" s="153">
        <v>164383</v>
      </c>
      <c r="L4" s="153">
        <v>166904</v>
      </c>
      <c r="M4" s="154">
        <v>189224</v>
      </c>
    </row>
    <row r="5" spans="2:13" x14ac:dyDescent="0.25">
      <c r="B5" s="152" t="s">
        <v>44</v>
      </c>
      <c r="C5" s="153">
        <v>-6880</v>
      </c>
      <c r="D5" s="153">
        <v>-8511</v>
      </c>
      <c r="E5" s="153">
        <v>-21991</v>
      </c>
      <c r="F5" s="153">
        <v>-40136</v>
      </c>
      <c r="G5" s="153">
        <v>-13792</v>
      </c>
      <c r="H5" s="153">
        <v>959</v>
      </c>
      <c r="I5" s="153">
        <v>-14180</v>
      </c>
      <c r="J5" s="153">
        <v>13194</v>
      </c>
      <c r="K5" s="153">
        <v>-15674</v>
      </c>
      <c r="L5" s="153">
        <v>-17837</v>
      </c>
      <c r="M5" s="155">
        <v>-53322</v>
      </c>
    </row>
    <row r="6" spans="2:13" x14ac:dyDescent="0.25">
      <c r="B6" s="152" t="s">
        <v>30</v>
      </c>
      <c r="C6" s="153">
        <v>6758</v>
      </c>
      <c r="D6" s="153">
        <v>-6899</v>
      </c>
      <c r="E6" s="153">
        <v>-10474</v>
      </c>
      <c r="F6" s="153">
        <v>-6724</v>
      </c>
      <c r="G6" s="153">
        <v>-6342</v>
      </c>
      <c r="H6" s="153">
        <v>-7769</v>
      </c>
      <c r="I6" s="153">
        <v>-24983</v>
      </c>
      <c r="J6" s="153">
        <v>-32228</v>
      </c>
      <c r="K6" s="153">
        <v>-12756</v>
      </c>
      <c r="L6" s="153">
        <v>3134</v>
      </c>
      <c r="M6" s="155">
        <v>-20790</v>
      </c>
    </row>
    <row r="7" spans="2:13" x14ac:dyDescent="0.25">
      <c r="B7" s="152" t="s">
        <v>88</v>
      </c>
      <c r="C7" s="153">
        <v>7951</v>
      </c>
      <c r="D7" s="153">
        <v>30873</v>
      </c>
      <c r="E7" s="153">
        <v>51003</v>
      </c>
      <c r="F7" s="153">
        <v>18078</v>
      </c>
      <c r="G7" s="153">
        <v>38050</v>
      </c>
      <c r="H7" s="153">
        <v>-43148</v>
      </c>
      <c r="I7" s="153">
        <v>39888</v>
      </c>
      <c r="J7" s="153">
        <v>-600</v>
      </c>
      <c r="K7" s="153">
        <v>34796</v>
      </c>
      <c r="L7" s="153">
        <v>38427</v>
      </c>
      <c r="M7" s="155">
        <v>86609</v>
      </c>
    </row>
    <row r="8" spans="2:13" x14ac:dyDescent="0.25">
      <c r="B8" s="152" t="s">
        <v>89</v>
      </c>
      <c r="C8" s="153">
        <v>7829</v>
      </c>
      <c r="D8" s="153">
        <v>15463</v>
      </c>
      <c r="E8" s="153">
        <v>18538</v>
      </c>
      <c r="F8" s="153">
        <v>-28782</v>
      </c>
      <c r="G8" s="153">
        <v>17916</v>
      </c>
      <c r="H8" s="153">
        <v>-49958</v>
      </c>
      <c r="I8" s="153">
        <v>725</v>
      </c>
      <c r="J8" s="153">
        <v>-19634</v>
      </c>
      <c r="K8" s="153">
        <v>6366</v>
      </c>
      <c r="L8" s="153">
        <v>23724</v>
      </c>
      <c r="M8" s="154">
        <v>12497</v>
      </c>
    </row>
    <row r="9" spans="2:13" x14ac:dyDescent="0.25">
      <c r="B9" s="152" t="s">
        <v>90</v>
      </c>
      <c r="C9" s="153">
        <v>-8582</v>
      </c>
      <c r="D9" s="153">
        <v>-10083</v>
      </c>
      <c r="E9" s="153">
        <v>-9844</v>
      </c>
      <c r="F9" s="153">
        <v>-12191</v>
      </c>
      <c r="G9" s="153">
        <v>-8386</v>
      </c>
      <c r="H9" s="153">
        <v>-3213</v>
      </c>
      <c r="I9" s="153">
        <v>-3797</v>
      </c>
      <c r="J9" s="153">
        <v>-6297</v>
      </c>
      <c r="K9" s="153">
        <v>-11961</v>
      </c>
      <c r="L9" s="153">
        <v>-11925</v>
      </c>
      <c r="M9" s="155">
        <v>-9608</v>
      </c>
    </row>
    <row r="10" spans="2:13" x14ac:dyDescent="0.25">
      <c r="B10" s="152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5"/>
    </row>
    <row r="11" spans="2:13" x14ac:dyDescent="0.25">
      <c r="B11" s="156" t="s">
        <v>278</v>
      </c>
      <c r="C11" s="157">
        <v>-36186</v>
      </c>
      <c r="D11" s="157">
        <v>-66201</v>
      </c>
      <c r="E11" s="157">
        <v>-68192</v>
      </c>
      <c r="F11" s="157">
        <v>-94507</v>
      </c>
      <c r="G11" s="157">
        <v>-72497</v>
      </c>
      <c r="H11" s="157">
        <v>-142385</v>
      </c>
      <c r="I11" s="157">
        <v>-109162</v>
      </c>
      <c r="J11" s="157">
        <v>-93001</v>
      </c>
      <c r="K11" s="157">
        <v>-113581</v>
      </c>
      <c r="L11" s="157">
        <v>-137535</v>
      </c>
      <c r="M11" s="158">
        <v>-101089</v>
      </c>
    </row>
    <row r="12" spans="2:13" x14ac:dyDescent="0.25">
      <c r="B12" s="159" t="s">
        <v>91</v>
      </c>
      <c r="C12" s="160">
        <v>-46898</v>
      </c>
      <c r="D12" s="160">
        <v>-78109</v>
      </c>
      <c r="E12" s="160">
        <v>-73953</v>
      </c>
      <c r="F12" s="160">
        <v>-93626</v>
      </c>
      <c r="G12" s="160">
        <v>-76517</v>
      </c>
      <c r="H12" s="160">
        <v>-105837</v>
      </c>
      <c r="I12" s="160">
        <v>-100145</v>
      </c>
      <c r="J12" s="160">
        <v>-140988</v>
      </c>
      <c r="K12" s="160">
        <v>-152883</v>
      </c>
      <c r="L12" s="160">
        <v>-139967</v>
      </c>
      <c r="M12" s="161">
        <v>-122916</v>
      </c>
    </row>
    <row r="13" spans="2:13" x14ac:dyDescent="0.25">
      <c r="B13" s="159" t="s">
        <v>92</v>
      </c>
      <c r="C13" s="160">
        <v>344</v>
      </c>
      <c r="D13" s="160">
        <v>1482</v>
      </c>
      <c r="E13" s="160">
        <v>999</v>
      </c>
      <c r="F13" s="160">
        <v>849</v>
      </c>
      <c r="G13" s="160">
        <v>964</v>
      </c>
      <c r="H13" s="160">
        <v>2319</v>
      </c>
      <c r="I13" s="160">
        <v>3137</v>
      </c>
      <c r="J13" s="160">
        <v>9186</v>
      </c>
      <c r="K13" s="160">
        <v>15307</v>
      </c>
      <c r="L13" s="160">
        <v>2343</v>
      </c>
      <c r="M13" s="161">
        <v>826</v>
      </c>
    </row>
    <row r="14" spans="2:13" x14ac:dyDescent="0.25">
      <c r="B14" s="159" t="s">
        <v>93</v>
      </c>
      <c r="C14" s="160">
        <v>-715334</v>
      </c>
      <c r="D14" s="160">
        <v>-654760</v>
      </c>
      <c r="E14" s="160">
        <v>-533984</v>
      </c>
      <c r="F14" s="160">
        <v>-1107439</v>
      </c>
      <c r="G14" s="160">
        <v>-1156843</v>
      </c>
      <c r="H14" s="160">
        <v>-689866</v>
      </c>
      <c r="I14" s="160">
        <v>-667878</v>
      </c>
      <c r="J14" s="160">
        <v>-471822</v>
      </c>
      <c r="K14" s="160">
        <v>-513660</v>
      </c>
      <c r="L14" s="160">
        <v>-684340</v>
      </c>
      <c r="M14" s="161">
        <v>-988777</v>
      </c>
    </row>
    <row r="15" spans="2:13" x14ac:dyDescent="0.25">
      <c r="B15" s="159" t="s">
        <v>94</v>
      </c>
      <c r="C15" s="160">
        <v>721182</v>
      </c>
      <c r="D15" s="160">
        <v>663990</v>
      </c>
      <c r="E15" s="160">
        <v>537504</v>
      </c>
      <c r="F15" s="160">
        <v>1103615</v>
      </c>
      <c r="G15" s="160">
        <v>1174796</v>
      </c>
      <c r="H15" s="160">
        <v>642551</v>
      </c>
      <c r="I15" s="160">
        <v>668137</v>
      </c>
      <c r="J15" s="160">
        <v>501266</v>
      </c>
      <c r="K15" s="160">
        <v>531355</v>
      </c>
      <c r="L15" s="160">
        <v>672558</v>
      </c>
      <c r="M15" s="161">
        <v>991876</v>
      </c>
    </row>
    <row r="16" spans="2:13" x14ac:dyDescent="0.25">
      <c r="B16" s="159" t="s">
        <v>95</v>
      </c>
      <c r="C16" s="160">
        <v>2942</v>
      </c>
      <c r="D16" s="160">
        <v>1110</v>
      </c>
      <c r="E16" s="160">
        <v>1310</v>
      </c>
      <c r="F16" s="160">
        <v>972</v>
      </c>
      <c r="G16" s="160">
        <v>1441</v>
      </c>
      <c r="H16" s="160">
        <v>8400</v>
      </c>
      <c r="I16" s="160">
        <v>5933</v>
      </c>
      <c r="J16" s="160">
        <v>11103</v>
      </c>
      <c r="K16" s="160">
        <v>10648</v>
      </c>
      <c r="L16" s="160">
        <v>15833</v>
      </c>
      <c r="M16" s="161">
        <v>13538</v>
      </c>
    </row>
    <row r="17" spans="2:13" x14ac:dyDescent="0.25">
      <c r="B17" s="159" t="s">
        <v>96</v>
      </c>
      <c r="C17" s="160">
        <v>732</v>
      </c>
      <c r="D17" s="160">
        <v>345</v>
      </c>
      <c r="E17" s="160">
        <v>1021</v>
      </c>
      <c r="F17" s="160">
        <v>501</v>
      </c>
      <c r="G17" s="160">
        <v>78</v>
      </c>
      <c r="H17" s="160">
        <v>26</v>
      </c>
      <c r="I17" s="160">
        <v>19</v>
      </c>
      <c r="J17" s="160">
        <v>20</v>
      </c>
      <c r="K17" s="160">
        <v>75</v>
      </c>
      <c r="L17" s="160">
        <v>612</v>
      </c>
      <c r="M17" s="161">
        <v>9100</v>
      </c>
    </row>
    <row r="18" spans="2:13" x14ac:dyDescent="0.25">
      <c r="B18" s="159" t="s">
        <v>97</v>
      </c>
      <c r="C18" s="160">
        <v>846</v>
      </c>
      <c r="D18" s="160">
        <v>-259</v>
      </c>
      <c r="E18" s="160">
        <v>-1089</v>
      </c>
      <c r="F18" s="160">
        <v>621</v>
      </c>
      <c r="G18" s="160">
        <v>-16416</v>
      </c>
      <c r="H18" s="160">
        <v>22</v>
      </c>
      <c r="I18" s="160">
        <v>-18365</v>
      </c>
      <c r="J18" s="160">
        <v>-1766</v>
      </c>
      <c r="K18" s="160">
        <v>-4423</v>
      </c>
      <c r="L18" s="160">
        <v>-4574</v>
      </c>
      <c r="M18" s="161">
        <v>-4736</v>
      </c>
    </row>
    <row r="19" spans="2:13" x14ac:dyDescent="0.25">
      <c r="B19" s="159"/>
      <c r="C19" s="160"/>
      <c r="D19" s="160"/>
      <c r="E19" s="160"/>
      <c r="F19" s="160"/>
      <c r="G19" s="160"/>
      <c r="H19" s="160"/>
      <c r="I19" s="160"/>
      <c r="J19" s="160"/>
      <c r="K19" s="160"/>
      <c r="L19" s="160"/>
      <c r="M19" s="161"/>
    </row>
    <row r="20" spans="2:13" x14ac:dyDescent="0.25">
      <c r="B20" s="149" t="s">
        <v>279</v>
      </c>
      <c r="C20" s="150">
        <v>-3210</v>
      </c>
      <c r="D20" s="150">
        <v>8617</v>
      </c>
      <c r="E20" s="150">
        <v>-2001</v>
      </c>
      <c r="F20" s="150">
        <v>55906</v>
      </c>
      <c r="G20" s="150">
        <v>-2541</v>
      </c>
      <c r="H20" s="150">
        <v>101904</v>
      </c>
      <c r="I20" s="150">
        <v>17289</v>
      </c>
      <c r="J20" s="150">
        <v>10455</v>
      </c>
      <c r="K20" s="150">
        <v>-16646</v>
      </c>
      <c r="L20" s="150">
        <v>-31891</v>
      </c>
      <c r="M20" s="151">
        <v>-51549</v>
      </c>
    </row>
    <row r="21" spans="2:13" x14ac:dyDescent="0.25">
      <c r="B21" s="152" t="s">
        <v>98</v>
      </c>
      <c r="C21" s="153">
        <v>288</v>
      </c>
      <c r="D21" s="153">
        <v>811</v>
      </c>
      <c r="E21" s="153">
        <v>406</v>
      </c>
      <c r="F21" s="153">
        <v>230</v>
      </c>
      <c r="G21" s="153">
        <v>129</v>
      </c>
      <c r="H21" s="153">
        <v>5</v>
      </c>
      <c r="I21" s="153">
        <v>455</v>
      </c>
      <c r="J21" s="153">
        <v>479</v>
      </c>
      <c r="K21" s="153">
        <v>20915</v>
      </c>
      <c r="L21" s="153">
        <v>0</v>
      </c>
      <c r="M21" s="155">
        <v>0</v>
      </c>
    </row>
    <row r="22" spans="2:13" x14ac:dyDescent="0.25">
      <c r="B22" s="152" t="s">
        <v>99</v>
      </c>
      <c r="C22" s="153">
        <v>34673</v>
      </c>
      <c r="D22" s="153">
        <v>31728</v>
      </c>
      <c r="E22" s="153">
        <v>36970</v>
      </c>
      <c r="F22" s="153">
        <v>106701</v>
      </c>
      <c r="G22" s="153">
        <v>53760</v>
      </c>
      <c r="H22" s="153">
        <v>46421</v>
      </c>
      <c r="I22" s="153">
        <v>59343</v>
      </c>
      <c r="J22" s="153">
        <v>67134</v>
      </c>
      <c r="K22" s="153">
        <v>69610</v>
      </c>
      <c r="L22" s="153">
        <v>51002</v>
      </c>
      <c r="M22" s="155">
        <v>38871</v>
      </c>
    </row>
    <row r="23" spans="2:13" x14ac:dyDescent="0.25">
      <c r="B23" s="152" t="s">
        <v>100</v>
      </c>
      <c r="C23" s="153">
        <v>-21693</v>
      </c>
      <c r="D23" s="153">
        <v>-18542</v>
      </c>
      <c r="E23" s="153">
        <v>-19813</v>
      </c>
      <c r="F23" s="153">
        <v>-20245</v>
      </c>
      <c r="G23" s="153">
        <v>-18179</v>
      </c>
      <c r="H23" s="153">
        <v>-116921</v>
      </c>
      <c r="I23" s="153">
        <v>-49493</v>
      </c>
      <c r="J23" s="153">
        <v>-29059</v>
      </c>
      <c r="K23" s="153">
        <v>-60348</v>
      </c>
      <c r="L23" s="153">
        <v>-31755</v>
      </c>
      <c r="M23" s="155">
        <v>-36052</v>
      </c>
    </row>
    <row r="24" spans="2:13" x14ac:dyDescent="0.25">
      <c r="B24" s="152" t="s">
        <v>101</v>
      </c>
      <c r="C24" s="153">
        <v>-9224</v>
      </c>
      <c r="D24" s="153">
        <v>-12920</v>
      </c>
      <c r="E24" s="153">
        <v>-17669</v>
      </c>
      <c r="F24" s="153">
        <v>-23338</v>
      </c>
      <c r="G24" s="153">
        <v>-28508</v>
      </c>
      <c r="H24" s="153">
        <v>-18340</v>
      </c>
      <c r="I24" s="153">
        <v>-26349</v>
      </c>
      <c r="J24" s="153">
        <v>-21650</v>
      </c>
      <c r="K24" s="153">
        <v>-37173</v>
      </c>
      <c r="L24" s="153">
        <v>-41024</v>
      </c>
      <c r="M24" s="155">
        <v>-39981</v>
      </c>
    </row>
    <row r="25" spans="2:13" x14ac:dyDescent="0.25">
      <c r="B25" s="152" t="s">
        <v>102</v>
      </c>
      <c r="C25" s="153">
        <v>-7259</v>
      </c>
      <c r="D25" s="153">
        <v>-53</v>
      </c>
      <c r="E25" s="153">
        <v>-3916</v>
      </c>
      <c r="F25" s="153">
        <v>-4282</v>
      </c>
      <c r="G25" s="153">
        <v>-4592</v>
      </c>
      <c r="H25" s="153">
        <v>-3921</v>
      </c>
      <c r="I25" s="153">
        <v>-4297</v>
      </c>
      <c r="J25" s="153">
        <v>-5083</v>
      </c>
      <c r="K25" s="153">
        <v>-6089</v>
      </c>
      <c r="L25" s="153">
        <v>-7180</v>
      </c>
      <c r="M25" s="155">
        <v>-7443</v>
      </c>
    </row>
    <row r="26" spans="2:13" x14ac:dyDescent="0.25">
      <c r="B26" s="152" t="s">
        <v>103</v>
      </c>
      <c r="C26" s="153">
        <v>0</v>
      </c>
      <c r="D26" s="153">
        <v>0</v>
      </c>
      <c r="E26" s="153">
        <v>0</v>
      </c>
      <c r="F26" s="153">
        <v>0</v>
      </c>
      <c r="G26" s="153">
        <v>-1062</v>
      </c>
      <c r="H26" s="153">
        <v>-1022</v>
      </c>
      <c r="I26" s="153">
        <v>-2132</v>
      </c>
      <c r="J26" s="153">
        <v>-1406</v>
      </c>
      <c r="K26" s="153">
        <v>-2483</v>
      </c>
      <c r="L26" s="153">
        <v>-2956</v>
      </c>
      <c r="M26" s="155">
        <v>-6508</v>
      </c>
    </row>
    <row r="27" spans="2:13" x14ac:dyDescent="0.25">
      <c r="B27" s="152" t="s">
        <v>104</v>
      </c>
      <c r="C27" s="153">
        <v>8</v>
      </c>
      <c r="D27" s="153">
        <v>4</v>
      </c>
      <c r="E27" s="153">
        <v>15</v>
      </c>
      <c r="F27" s="153">
        <v>2</v>
      </c>
      <c r="G27" s="153">
        <v>1</v>
      </c>
      <c r="H27" s="153">
        <v>0</v>
      </c>
      <c r="I27" s="153">
        <v>0</v>
      </c>
      <c r="J27" s="153">
        <v>0</v>
      </c>
      <c r="K27" s="153">
        <v>0</v>
      </c>
      <c r="L27" s="153">
        <v>0</v>
      </c>
      <c r="M27" s="155">
        <v>0</v>
      </c>
    </row>
    <row r="28" spans="2:13" x14ac:dyDescent="0.25">
      <c r="B28" s="152" t="s">
        <v>105</v>
      </c>
      <c r="C28" s="153">
        <v>-3</v>
      </c>
      <c r="D28" s="153">
        <v>7589</v>
      </c>
      <c r="E28" s="153">
        <v>2006</v>
      </c>
      <c r="F28" s="153">
        <v>-3162</v>
      </c>
      <c r="G28" s="153">
        <v>-4090</v>
      </c>
      <c r="H28" s="153">
        <v>195682</v>
      </c>
      <c r="I28" s="153">
        <v>39762</v>
      </c>
      <c r="J28" s="153">
        <v>40</v>
      </c>
      <c r="K28" s="153">
        <v>-1078</v>
      </c>
      <c r="L28" s="153">
        <v>22</v>
      </c>
      <c r="M28" s="155">
        <v>-436</v>
      </c>
    </row>
    <row r="29" spans="2:13" x14ac:dyDescent="0.25">
      <c r="B29" s="162" t="s">
        <v>21</v>
      </c>
      <c r="C29" s="160">
        <v>-1262</v>
      </c>
      <c r="D29" s="160">
        <v>-8034</v>
      </c>
      <c r="E29" s="160">
        <v>1266</v>
      </c>
      <c r="F29" s="160">
        <v>3745</v>
      </c>
      <c r="G29" s="160">
        <v>19839</v>
      </c>
      <c r="H29" s="160">
        <v>-13523</v>
      </c>
      <c r="I29" s="160">
        <v>18781</v>
      </c>
      <c r="J29" s="160">
        <v>32486</v>
      </c>
      <c r="K29" s="160">
        <v>28561</v>
      </c>
      <c r="L29" s="160">
        <v>9277</v>
      </c>
      <c r="M29" s="163">
        <v>39475</v>
      </c>
    </row>
    <row r="30" spans="2:13" x14ac:dyDescent="0.25">
      <c r="B30" s="164" t="s">
        <v>106</v>
      </c>
      <c r="C30" s="153">
        <v>-8420</v>
      </c>
      <c r="D30" s="153">
        <v>-27077</v>
      </c>
      <c r="E30" s="153">
        <v>-1495</v>
      </c>
      <c r="F30" s="153">
        <v>-50431</v>
      </c>
      <c r="G30" s="153">
        <v>19324</v>
      </c>
      <c r="H30" s="153">
        <v>-76560</v>
      </c>
      <c r="I30" s="153">
        <v>13646</v>
      </c>
      <c r="J30" s="153">
        <v>-16770</v>
      </c>
      <c r="K30" s="153">
        <v>21212</v>
      </c>
      <c r="L30" s="153">
        <v>41079</v>
      </c>
      <c r="M30" s="165">
        <v>70023</v>
      </c>
    </row>
    <row r="31" spans="2:13" x14ac:dyDescent="0.25">
      <c r="B31" s="166" t="s">
        <v>107</v>
      </c>
      <c r="C31" s="167">
        <v>1.1200000000000001</v>
      </c>
      <c r="D31" s="167">
        <v>1.29</v>
      </c>
      <c r="E31" s="167">
        <v>1.26</v>
      </c>
      <c r="F31" s="167">
        <v>0.65</v>
      </c>
      <c r="G31" s="167">
        <v>1.1599999999999999</v>
      </c>
      <c r="H31" s="167">
        <v>0.37</v>
      </c>
      <c r="I31" s="167">
        <v>1.05</v>
      </c>
      <c r="J31" s="167">
        <v>0.85</v>
      </c>
      <c r="K31" s="167">
        <v>1.05</v>
      </c>
      <c r="L31" s="167">
        <v>1.1499999999999999</v>
      </c>
      <c r="M31" s="168">
        <v>1.1299999999999999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335E-88A3-45A0-A4C0-F3A56BF9C65E}">
  <dimension ref="B2:N41"/>
  <sheetViews>
    <sheetView showGridLines="0" workbookViewId="0">
      <selection activeCell="B19" sqref="B19"/>
    </sheetView>
  </sheetViews>
  <sheetFormatPr defaultRowHeight="15" x14ac:dyDescent="0.25"/>
  <cols>
    <col min="1" max="1" width="2.85546875" customWidth="1"/>
    <col min="2" max="2" width="26" bestFit="1" customWidth="1"/>
    <col min="3" max="7" width="11.7109375" bestFit="1" customWidth="1"/>
    <col min="8" max="14" width="13" bestFit="1" customWidth="1"/>
  </cols>
  <sheetData>
    <row r="2" spans="2:14" x14ac:dyDescent="0.25">
      <c r="B2" s="131" t="s">
        <v>157</v>
      </c>
      <c r="C2" s="132">
        <v>42064</v>
      </c>
      <c r="D2" s="132">
        <v>42430</v>
      </c>
      <c r="E2" s="132">
        <v>42795</v>
      </c>
      <c r="F2" s="132">
        <v>43160</v>
      </c>
      <c r="G2" s="132">
        <v>43525</v>
      </c>
      <c r="H2" s="132">
        <v>43891</v>
      </c>
      <c r="I2" s="132">
        <v>44256</v>
      </c>
      <c r="J2" s="132">
        <v>44621</v>
      </c>
      <c r="K2" s="132">
        <v>44986</v>
      </c>
      <c r="L2" s="132">
        <v>45352</v>
      </c>
      <c r="M2" s="132">
        <v>45717</v>
      </c>
      <c r="N2" s="132">
        <v>46082</v>
      </c>
    </row>
    <row r="3" spans="2:14" s="54" customFormat="1" x14ac:dyDescent="0.25"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</row>
    <row r="4" spans="2:14" x14ac:dyDescent="0.25">
      <c r="B4" s="2" t="s">
        <v>248</v>
      </c>
      <c r="C4" s="136">
        <v>2943</v>
      </c>
      <c r="D4" s="136">
        <v>2948</v>
      </c>
      <c r="E4" s="136">
        <v>2959</v>
      </c>
      <c r="F4" s="136">
        <v>5922</v>
      </c>
      <c r="G4" s="136">
        <v>5926</v>
      </c>
      <c r="H4" s="136">
        <v>6339</v>
      </c>
      <c r="I4" s="136">
        <v>6445</v>
      </c>
      <c r="J4" s="136">
        <v>6765</v>
      </c>
      <c r="K4" s="136">
        <v>6766</v>
      </c>
      <c r="L4" s="136">
        <v>6766</v>
      </c>
      <c r="M4" s="136">
        <v>13532</v>
      </c>
      <c r="N4" s="136">
        <v>13532</v>
      </c>
    </row>
    <row r="5" spans="2:14" x14ac:dyDescent="0.25">
      <c r="B5" s="2" t="s">
        <v>12</v>
      </c>
      <c r="C5" s="136">
        <v>215556</v>
      </c>
      <c r="D5" s="136">
        <v>228608</v>
      </c>
      <c r="E5" s="136">
        <v>260750</v>
      </c>
      <c r="F5" s="136">
        <v>287584</v>
      </c>
      <c r="G5" s="136">
        <v>381186</v>
      </c>
      <c r="H5" s="136">
        <v>442827</v>
      </c>
      <c r="I5" s="136">
        <v>693727</v>
      </c>
      <c r="J5" s="136">
        <v>772720</v>
      </c>
      <c r="K5" s="136">
        <v>709106</v>
      </c>
      <c r="L5" s="136">
        <v>786715</v>
      </c>
      <c r="M5" s="136">
        <v>829668</v>
      </c>
      <c r="N5" s="136">
        <v>890498</v>
      </c>
    </row>
    <row r="6" spans="2:14" x14ac:dyDescent="0.25">
      <c r="B6" s="2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</row>
    <row r="7" spans="2:14" x14ac:dyDescent="0.25">
      <c r="B7" s="2" t="s">
        <v>273</v>
      </c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</row>
    <row r="8" spans="2:14" x14ac:dyDescent="0.25">
      <c r="B8" t="s">
        <v>249</v>
      </c>
      <c r="C8" s="137">
        <v>128165</v>
      </c>
      <c r="D8" s="137">
        <v>154957</v>
      </c>
      <c r="E8" s="137">
        <v>172285</v>
      </c>
      <c r="F8" s="137">
        <v>164385</v>
      </c>
      <c r="G8" s="137">
        <v>226345</v>
      </c>
      <c r="H8" s="137">
        <v>216470</v>
      </c>
      <c r="I8" s="137">
        <v>182520</v>
      </c>
      <c r="J8" s="137">
        <v>224883</v>
      </c>
      <c r="K8" s="137">
        <v>296023</v>
      </c>
      <c r="L8" s="137">
        <v>222712</v>
      </c>
      <c r="M8" s="137">
        <v>236899</v>
      </c>
      <c r="N8" s="137">
        <v>270751</v>
      </c>
    </row>
    <row r="9" spans="2:14" x14ac:dyDescent="0.25">
      <c r="B9" t="s">
        <v>250</v>
      </c>
      <c r="C9" s="137">
        <v>27965</v>
      </c>
      <c r="D9" s="137">
        <v>23545</v>
      </c>
      <c r="E9" s="137">
        <v>31528</v>
      </c>
      <c r="F9" s="137">
        <v>37429</v>
      </c>
      <c r="G9" s="137">
        <v>64436</v>
      </c>
      <c r="H9" s="137">
        <v>93786</v>
      </c>
      <c r="I9" s="137">
        <v>88128</v>
      </c>
      <c r="J9" s="137">
        <v>78606</v>
      </c>
      <c r="K9" s="137">
        <v>130790</v>
      </c>
      <c r="L9" s="137">
        <v>101910</v>
      </c>
      <c r="M9" s="137">
        <v>110631</v>
      </c>
      <c r="N9" s="137">
        <v>103670</v>
      </c>
    </row>
    <row r="10" spans="2:14" x14ac:dyDescent="0.25">
      <c r="B10" t="s">
        <v>251</v>
      </c>
      <c r="C10" s="137">
        <v>0</v>
      </c>
      <c r="D10" s="137">
        <v>0</v>
      </c>
      <c r="E10" s="137">
        <v>0</v>
      </c>
      <c r="F10" s="137">
        <v>0</v>
      </c>
      <c r="G10" s="137">
        <v>0</v>
      </c>
      <c r="H10" s="137">
        <v>0</v>
      </c>
      <c r="I10" s="137">
        <v>8314</v>
      </c>
      <c r="J10" s="137">
        <v>15669</v>
      </c>
      <c r="K10" s="137">
        <v>20426</v>
      </c>
      <c r="L10" s="137">
        <v>21520</v>
      </c>
      <c r="M10" s="137">
        <v>22045</v>
      </c>
      <c r="N10" s="137">
        <v>23579</v>
      </c>
    </row>
    <row r="11" spans="2:14" x14ac:dyDescent="0.25">
      <c r="B11" t="s">
        <v>252</v>
      </c>
      <c r="C11" s="137">
        <v>12121</v>
      </c>
      <c r="D11" s="137">
        <v>16212</v>
      </c>
      <c r="E11" s="137">
        <v>13662</v>
      </c>
      <c r="F11" s="137">
        <v>38029</v>
      </c>
      <c r="G11" s="137">
        <v>16933</v>
      </c>
      <c r="H11" s="137">
        <v>44877</v>
      </c>
      <c r="I11" s="137">
        <v>0</v>
      </c>
      <c r="J11" s="137">
        <v>0</v>
      </c>
      <c r="K11" s="137">
        <v>4425</v>
      </c>
      <c r="L11" s="137">
        <v>4577</v>
      </c>
      <c r="M11" s="137">
        <v>4738</v>
      </c>
      <c r="N11" s="137"/>
    </row>
    <row r="12" spans="2:14" x14ac:dyDescent="0.25">
      <c r="B12" t="s">
        <v>274</v>
      </c>
      <c r="C12" s="137">
        <v>117736</v>
      </c>
      <c r="D12" s="137">
        <v>172727</v>
      </c>
      <c r="E12" s="137">
        <v>225618</v>
      </c>
      <c r="F12" s="137">
        <v>277924</v>
      </c>
      <c r="G12" s="137">
        <v>302804</v>
      </c>
      <c r="H12" s="137">
        <v>358716</v>
      </c>
      <c r="I12" s="137">
        <v>340931</v>
      </c>
      <c r="J12" s="137">
        <v>399979</v>
      </c>
      <c r="K12" s="137">
        <v>438346</v>
      </c>
      <c r="L12" s="137">
        <v>610848</v>
      </c>
      <c r="M12" s="137">
        <v>732200</v>
      </c>
      <c r="N12" s="137">
        <v>876110</v>
      </c>
    </row>
    <row r="13" spans="2:14" x14ac:dyDescent="0.25">
      <c r="B13" t="s">
        <v>253</v>
      </c>
      <c r="C13" s="137">
        <v>3038</v>
      </c>
      <c r="D13" s="137">
        <v>3356</v>
      </c>
      <c r="E13" s="137">
        <v>2917</v>
      </c>
      <c r="F13" s="137">
        <v>3539</v>
      </c>
      <c r="G13" s="137">
        <v>8280</v>
      </c>
      <c r="H13" s="137">
        <v>12181</v>
      </c>
      <c r="I13" s="137">
        <v>99260</v>
      </c>
      <c r="J13" s="137">
        <v>109499</v>
      </c>
      <c r="K13" s="137">
        <v>113009</v>
      </c>
      <c r="L13" s="137">
        <v>132307</v>
      </c>
      <c r="M13" s="137">
        <v>166426</v>
      </c>
      <c r="N13" s="137">
        <v>181836</v>
      </c>
    </row>
    <row r="14" spans="2:14" x14ac:dyDescent="0.25">
      <c r="B14" t="s">
        <v>254</v>
      </c>
      <c r="C14" s="137">
        <v>59407</v>
      </c>
      <c r="D14" s="137">
        <v>60296</v>
      </c>
      <c r="E14" s="137">
        <v>76595</v>
      </c>
      <c r="F14" s="137">
        <v>106861</v>
      </c>
      <c r="G14" s="137">
        <v>108309</v>
      </c>
      <c r="H14" s="137">
        <v>96799</v>
      </c>
      <c r="I14" s="137">
        <v>108897</v>
      </c>
      <c r="J14" s="137">
        <v>159330</v>
      </c>
      <c r="K14" s="137">
        <v>147172</v>
      </c>
      <c r="L14" s="137">
        <v>178377</v>
      </c>
      <c r="M14" s="137">
        <v>186789</v>
      </c>
      <c r="N14" s="137">
        <v>158842</v>
      </c>
    </row>
    <row r="15" spans="2:14" x14ac:dyDescent="0.25">
      <c r="B15" t="s">
        <v>255</v>
      </c>
      <c r="C15" s="138">
        <v>55291</v>
      </c>
      <c r="D15" s="138">
        <v>109075</v>
      </c>
      <c r="E15" s="138">
        <v>146106</v>
      </c>
      <c r="F15" s="138">
        <v>167524</v>
      </c>
      <c r="G15" s="138">
        <v>186215</v>
      </c>
      <c r="H15" s="138">
        <v>249736</v>
      </c>
      <c r="I15" s="138">
        <v>132774</v>
      </c>
      <c r="J15" s="138">
        <v>131150</v>
      </c>
      <c r="K15" s="138">
        <v>178165</v>
      </c>
      <c r="L15" s="138">
        <v>300164</v>
      </c>
      <c r="M15" s="138">
        <v>378985</v>
      </c>
      <c r="N15" s="138">
        <v>535432</v>
      </c>
    </row>
    <row r="16" spans="2:14" x14ac:dyDescent="0.25">
      <c r="B16" s="35" t="s">
        <v>81</v>
      </c>
      <c r="C16" s="135">
        <v>504486</v>
      </c>
      <c r="D16" s="135">
        <v>598997</v>
      </c>
      <c r="E16" s="135">
        <v>706802</v>
      </c>
      <c r="F16" s="135">
        <v>811273</v>
      </c>
      <c r="G16" s="135">
        <v>997630</v>
      </c>
      <c r="H16" s="135">
        <v>1163015</v>
      </c>
      <c r="I16" s="135">
        <v>1320065</v>
      </c>
      <c r="J16" s="135">
        <v>1498622</v>
      </c>
      <c r="K16" s="135">
        <v>1605882</v>
      </c>
      <c r="L16" s="135">
        <v>1755048</v>
      </c>
      <c r="M16" s="135">
        <v>1949713</v>
      </c>
      <c r="N16" s="135">
        <v>2178140</v>
      </c>
    </row>
    <row r="17" spans="2:14" x14ac:dyDescent="0.25"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</row>
    <row r="18" spans="2:14" x14ac:dyDescent="0.25">
      <c r="B18" s="2" t="s">
        <v>275</v>
      </c>
    </row>
    <row r="19" spans="2:14" x14ac:dyDescent="0.25">
      <c r="B19" t="s">
        <v>256</v>
      </c>
      <c r="C19" s="137">
        <v>9859</v>
      </c>
      <c r="D19" s="137">
        <v>63734</v>
      </c>
      <c r="E19" s="137">
        <v>65973</v>
      </c>
      <c r="F19" s="137">
        <v>66765</v>
      </c>
      <c r="G19" s="137">
        <v>49371</v>
      </c>
      <c r="H19" s="137">
        <v>68743</v>
      </c>
      <c r="I19" s="137">
        <v>68768</v>
      </c>
      <c r="J19" s="137">
        <v>69855</v>
      </c>
      <c r="K19" s="137">
        <v>79697</v>
      </c>
      <c r="L19" s="137">
        <v>87287</v>
      </c>
      <c r="M19" s="137">
        <v>102088</v>
      </c>
      <c r="N19" s="136"/>
    </row>
    <row r="20" spans="2:14" x14ac:dyDescent="0.25">
      <c r="B20" t="s">
        <v>257</v>
      </c>
      <c r="C20" s="137">
        <v>13967</v>
      </c>
      <c r="D20" s="137">
        <v>15283</v>
      </c>
      <c r="E20" s="137">
        <v>18813</v>
      </c>
      <c r="F20" s="137">
        <v>22194</v>
      </c>
      <c r="G20" s="137">
        <v>27672</v>
      </c>
      <c r="H20" s="137">
        <v>34380</v>
      </c>
      <c r="I20" s="137">
        <v>36781</v>
      </c>
      <c r="J20" s="137">
        <v>47561</v>
      </c>
      <c r="K20" s="137">
        <v>69747</v>
      </c>
      <c r="L20" s="137">
        <v>82062</v>
      </c>
      <c r="M20" s="137">
        <v>106351</v>
      </c>
      <c r="N20" s="136"/>
    </row>
    <row r="21" spans="2:14" x14ac:dyDescent="0.25">
      <c r="B21" t="s">
        <v>258</v>
      </c>
      <c r="C21" s="137">
        <v>158698</v>
      </c>
      <c r="D21" s="137">
        <v>168888</v>
      </c>
      <c r="E21" s="137">
        <v>179326</v>
      </c>
      <c r="F21" s="137">
        <v>325183</v>
      </c>
      <c r="G21" s="137">
        <v>318853</v>
      </c>
      <c r="H21" s="137">
        <v>449770</v>
      </c>
      <c r="I21" s="137">
        <v>471201</v>
      </c>
      <c r="J21" s="137">
        <v>518865</v>
      </c>
      <c r="K21" s="137">
        <v>557687</v>
      </c>
      <c r="L21" s="137">
        <v>579067</v>
      </c>
      <c r="M21" s="137">
        <v>640511</v>
      </c>
      <c r="N21" s="137"/>
    </row>
    <row r="22" spans="2:14" x14ac:dyDescent="0.25">
      <c r="B22" t="s">
        <v>259</v>
      </c>
      <c r="C22" s="137">
        <v>397</v>
      </c>
      <c r="D22" s="137">
        <v>422</v>
      </c>
      <c r="E22" s="137">
        <v>3484</v>
      </c>
      <c r="F22" s="137">
        <v>5038</v>
      </c>
      <c r="G22" s="137">
        <v>417</v>
      </c>
      <c r="H22" s="137">
        <v>502</v>
      </c>
      <c r="I22" s="137">
        <v>515</v>
      </c>
      <c r="J22" s="137">
        <v>508</v>
      </c>
      <c r="K22" s="137">
        <v>518</v>
      </c>
      <c r="L22" s="137">
        <v>522</v>
      </c>
      <c r="M22" s="137">
        <v>527</v>
      </c>
      <c r="N22" s="137"/>
    </row>
    <row r="23" spans="2:14" x14ac:dyDescent="0.25">
      <c r="B23" t="s">
        <v>260</v>
      </c>
      <c r="C23" s="137">
        <v>0</v>
      </c>
      <c r="D23" s="137">
        <v>0</v>
      </c>
      <c r="E23" s="137">
        <v>0</v>
      </c>
      <c r="F23" s="137">
        <v>0</v>
      </c>
      <c r="G23" s="137">
        <v>0</v>
      </c>
      <c r="H23" s="137">
        <v>0</v>
      </c>
      <c r="I23" s="137">
        <v>0</v>
      </c>
      <c r="J23" s="137">
        <v>32638</v>
      </c>
      <c r="K23" s="137">
        <v>45067</v>
      </c>
      <c r="L23" s="137">
        <v>59936</v>
      </c>
      <c r="M23" s="137">
        <v>63964</v>
      </c>
      <c r="N23" s="137"/>
    </row>
    <row r="24" spans="2:14" x14ac:dyDescent="0.25">
      <c r="B24" t="s">
        <v>261</v>
      </c>
      <c r="C24" s="137">
        <v>4835</v>
      </c>
      <c r="D24" s="137">
        <v>6282</v>
      </c>
      <c r="E24" s="137">
        <v>7848</v>
      </c>
      <c r="F24" s="137">
        <v>10146</v>
      </c>
      <c r="G24" s="137">
        <v>21817</v>
      </c>
      <c r="H24" s="137">
        <v>31211</v>
      </c>
      <c r="I24" s="137">
        <v>38039</v>
      </c>
      <c r="J24" s="137">
        <v>24970</v>
      </c>
      <c r="K24" s="137">
        <v>38161</v>
      </c>
      <c r="L24" s="137">
        <v>43458</v>
      </c>
      <c r="M24" s="137">
        <v>47640</v>
      </c>
      <c r="N24" s="137"/>
    </row>
    <row r="25" spans="2:14" x14ac:dyDescent="0.25">
      <c r="B25" t="s">
        <v>262</v>
      </c>
      <c r="C25" s="137">
        <v>710</v>
      </c>
      <c r="D25" s="137">
        <v>777</v>
      </c>
      <c r="E25" s="137">
        <v>1155</v>
      </c>
      <c r="F25" s="137">
        <v>1199</v>
      </c>
      <c r="G25" s="137">
        <v>1240</v>
      </c>
      <c r="H25" s="137">
        <v>1411</v>
      </c>
      <c r="I25" s="137">
        <v>2336</v>
      </c>
      <c r="J25" s="137">
        <v>2530</v>
      </c>
      <c r="K25" s="137">
        <v>3667</v>
      </c>
      <c r="L25" s="137">
        <v>3745</v>
      </c>
      <c r="M25" s="137">
        <v>4178</v>
      </c>
      <c r="N25" s="137"/>
    </row>
    <row r="26" spans="2:14" x14ac:dyDescent="0.25">
      <c r="B26" t="s">
        <v>263</v>
      </c>
      <c r="C26" s="137">
        <v>88103</v>
      </c>
      <c r="D26" s="137">
        <v>68660</v>
      </c>
      <c r="E26" s="137">
        <v>75351</v>
      </c>
      <c r="F26" s="137">
        <v>76599</v>
      </c>
      <c r="G26" s="137">
        <v>86765</v>
      </c>
      <c r="H26" s="137">
        <v>81462</v>
      </c>
      <c r="I26" s="137">
        <v>77353</v>
      </c>
      <c r="J26" s="137">
        <v>65970</v>
      </c>
      <c r="K26" s="137">
        <v>85032</v>
      </c>
      <c r="L26" s="137">
        <v>112873</v>
      </c>
      <c r="M26" s="137">
        <v>160656</v>
      </c>
      <c r="N26" s="137">
        <v>419107</v>
      </c>
    </row>
    <row r="27" spans="2:14" x14ac:dyDescent="0.25">
      <c r="B27" t="s">
        <v>264</v>
      </c>
      <c r="C27" s="137">
        <v>12297</v>
      </c>
      <c r="D27" s="137">
        <v>11453</v>
      </c>
      <c r="E27" s="137">
        <v>9343</v>
      </c>
      <c r="F27" s="137">
        <v>74160</v>
      </c>
      <c r="G27" s="137">
        <v>90387</v>
      </c>
      <c r="H27" s="137">
        <v>76299</v>
      </c>
      <c r="I27" s="137">
        <v>80819</v>
      </c>
      <c r="J27" s="137">
        <v>120717</v>
      </c>
      <c r="K27" s="137">
        <v>138426</v>
      </c>
      <c r="L27" s="137">
        <v>145632</v>
      </c>
      <c r="M27" s="137">
        <v>249903</v>
      </c>
      <c r="N27" s="137"/>
    </row>
    <row r="28" spans="2:14" x14ac:dyDescent="0.25">
      <c r="B28" s="2" t="s">
        <v>265</v>
      </c>
      <c r="C28" s="137">
        <v>288866</v>
      </c>
      <c r="D28" s="137">
        <v>335499</v>
      </c>
      <c r="E28" s="137">
        <v>361293</v>
      </c>
      <c r="F28" s="137">
        <v>581284</v>
      </c>
      <c r="G28" s="137">
        <v>596522</v>
      </c>
      <c r="H28" s="137">
        <v>743778</v>
      </c>
      <c r="I28" s="137">
        <v>775812</v>
      </c>
      <c r="J28" s="137">
        <v>883614</v>
      </c>
      <c r="K28" s="137">
        <v>1018002</v>
      </c>
      <c r="L28" s="137">
        <v>1114582</v>
      </c>
      <c r="M28" s="137">
        <v>1375818</v>
      </c>
      <c r="N28" s="137"/>
    </row>
    <row r="29" spans="2:14" x14ac:dyDescent="0.25">
      <c r="B29" s="2" t="s">
        <v>266</v>
      </c>
      <c r="C29" s="138">
        <v>132408</v>
      </c>
      <c r="D29" s="138">
        <v>150589</v>
      </c>
      <c r="E29" s="138">
        <v>162767</v>
      </c>
      <c r="F29" s="138">
        <v>177399</v>
      </c>
      <c r="G29" s="138">
        <v>198148</v>
      </c>
      <c r="H29" s="138">
        <v>211120</v>
      </c>
      <c r="I29" s="138">
        <v>234554</v>
      </c>
      <c r="J29" s="138">
        <v>255816</v>
      </c>
      <c r="K29" s="138">
        <v>293197</v>
      </c>
      <c r="L29" s="138">
        <v>334597</v>
      </c>
      <c r="M29" s="138">
        <v>376425</v>
      </c>
      <c r="N29" s="138"/>
    </row>
    <row r="30" spans="2:14" x14ac:dyDescent="0.25">
      <c r="B30" s="142" t="s">
        <v>14</v>
      </c>
      <c r="C30" s="143">
        <f>SUM(C28,C29)</f>
        <v>421274</v>
      </c>
      <c r="D30" s="143">
        <f t="shared" ref="D30:N30" si="0">SUM(D28,D29)</f>
        <v>486088</v>
      </c>
      <c r="E30" s="143">
        <f t="shared" si="0"/>
        <v>524060</v>
      </c>
      <c r="F30" s="143">
        <f t="shared" si="0"/>
        <v>758683</v>
      </c>
      <c r="G30" s="143">
        <f t="shared" si="0"/>
        <v>794670</v>
      </c>
      <c r="H30" s="143">
        <f t="shared" si="0"/>
        <v>954898</v>
      </c>
      <c r="I30" s="143">
        <f t="shared" si="0"/>
        <v>1010366</v>
      </c>
      <c r="J30" s="143">
        <f t="shared" si="0"/>
        <v>1139430</v>
      </c>
      <c r="K30" s="143">
        <f t="shared" si="0"/>
        <v>1311199</v>
      </c>
      <c r="L30" s="143">
        <f t="shared" si="0"/>
        <v>1449179</v>
      </c>
      <c r="M30" s="143">
        <f t="shared" si="0"/>
        <v>1752243</v>
      </c>
      <c r="N30" s="143">
        <f t="shared" si="0"/>
        <v>0</v>
      </c>
    </row>
    <row r="31" spans="2:14" x14ac:dyDescent="0.25">
      <c r="B31" s="2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</row>
    <row r="32" spans="2:14" x14ac:dyDescent="0.25">
      <c r="B32" s="2" t="s">
        <v>267</v>
      </c>
      <c r="C32" s="136">
        <v>166462</v>
      </c>
      <c r="D32" s="136">
        <v>228697</v>
      </c>
      <c r="E32" s="136">
        <v>324837</v>
      </c>
      <c r="F32" s="136">
        <v>187022</v>
      </c>
      <c r="G32" s="136">
        <v>179463</v>
      </c>
      <c r="H32" s="136">
        <v>109106</v>
      </c>
      <c r="I32" s="136">
        <v>125953</v>
      </c>
      <c r="J32" s="136">
        <v>172506</v>
      </c>
      <c r="K32" s="136">
        <v>293752</v>
      </c>
      <c r="L32" s="136">
        <v>338855</v>
      </c>
      <c r="M32" s="136">
        <v>262358</v>
      </c>
      <c r="N32" s="136">
        <v>192287</v>
      </c>
    </row>
    <row r="33" spans="2:14" x14ac:dyDescent="0.25">
      <c r="B33" s="2" t="s">
        <v>16</v>
      </c>
      <c r="C33" s="145">
        <v>76451</v>
      </c>
      <c r="D33" s="145">
        <v>84015</v>
      </c>
      <c r="E33" s="145">
        <v>82899</v>
      </c>
      <c r="F33" s="145">
        <v>82862</v>
      </c>
      <c r="G33" s="145">
        <v>235635</v>
      </c>
      <c r="H33" s="145">
        <v>276767</v>
      </c>
      <c r="I33" s="145">
        <v>364828</v>
      </c>
      <c r="J33" s="145">
        <v>394264</v>
      </c>
      <c r="K33" s="145">
        <v>235560</v>
      </c>
      <c r="L33" s="145">
        <v>225672</v>
      </c>
      <c r="M33" s="145">
        <v>242381</v>
      </c>
      <c r="N33" s="145">
        <v>248332</v>
      </c>
    </row>
    <row r="34" spans="2:14" x14ac:dyDescent="0.25">
      <c r="B34" s="2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</row>
    <row r="35" spans="2:14" x14ac:dyDescent="0.25">
      <c r="B35" s="2" t="s">
        <v>276</v>
      </c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</row>
    <row r="36" spans="2:14" x14ac:dyDescent="0.25">
      <c r="B36" t="s">
        <v>268</v>
      </c>
      <c r="C36" s="137">
        <v>53248</v>
      </c>
      <c r="D36" s="137">
        <v>46486</v>
      </c>
      <c r="E36" s="137">
        <v>48951</v>
      </c>
      <c r="F36" s="137">
        <v>60837</v>
      </c>
      <c r="G36" s="137">
        <v>67561</v>
      </c>
      <c r="H36" s="137">
        <v>73903</v>
      </c>
      <c r="I36" s="137">
        <v>81672</v>
      </c>
      <c r="J36" s="137">
        <v>107778</v>
      </c>
      <c r="K36" s="137">
        <v>140008</v>
      </c>
      <c r="L36" s="137">
        <v>152770</v>
      </c>
      <c r="M36" s="137">
        <v>146062</v>
      </c>
      <c r="N36" s="137">
        <v>166941</v>
      </c>
    </row>
    <row r="37" spans="2:14" x14ac:dyDescent="0.25">
      <c r="B37" t="s">
        <v>269</v>
      </c>
      <c r="C37" s="137">
        <v>5315</v>
      </c>
      <c r="D37" s="137">
        <v>4465</v>
      </c>
      <c r="E37" s="137">
        <v>8177</v>
      </c>
      <c r="F37" s="137">
        <v>17555</v>
      </c>
      <c r="G37" s="137">
        <v>30089</v>
      </c>
      <c r="H37" s="137">
        <v>19656</v>
      </c>
      <c r="I37" s="137">
        <v>19014</v>
      </c>
      <c r="J37" s="137">
        <v>23640</v>
      </c>
      <c r="K37" s="137">
        <v>28448</v>
      </c>
      <c r="L37" s="137">
        <v>31628</v>
      </c>
      <c r="M37" s="137">
        <v>42121</v>
      </c>
      <c r="N37" s="137">
        <v>58491</v>
      </c>
    </row>
    <row r="38" spans="2:14" x14ac:dyDescent="0.25">
      <c r="B38" t="s">
        <v>270</v>
      </c>
      <c r="C38" s="137">
        <v>12545</v>
      </c>
      <c r="D38" s="137">
        <v>11028</v>
      </c>
      <c r="E38" s="137">
        <v>3023</v>
      </c>
      <c r="F38" s="137">
        <v>4255</v>
      </c>
      <c r="G38" s="137">
        <v>11081</v>
      </c>
      <c r="H38" s="137">
        <v>30920</v>
      </c>
      <c r="I38" s="137">
        <v>17397</v>
      </c>
      <c r="J38" s="137">
        <v>36178</v>
      </c>
      <c r="K38" s="137">
        <v>68664</v>
      </c>
      <c r="L38" s="137">
        <v>97225</v>
      </c>
      <c r="M38" s="137">
        <v>106502</v>
      </c>
      <c r="N38" s="137">
        <v>145977</v>
      </c>
    </row>
    <row r="39" spans="2:14" x14ac:dyDescent="0.25">
      <c r="B39" t="s">
        <v>271</v>
      </c>
      <c r="C39" s="137">
        <v>0</v>
      </c>
      <c r="D39" s="137">
        <v>841</v>
      </c>
      <c r="E39" s="137">
        <v>996</v>
      </c>
      <c r="F39" s="137">
        <v>2327</v>
      </c>
      <c r="G39" s="137">
        <v>545</v>
      </c>
      <c r="H39" s="137">
        <v>669</v>
      </c>
      <c r="I39" s="137">
        <v>65</v>
      </c>
      <c r="J39" s="137">
        <v>130</v>
      </c>
      <c r="K39" s="137">
        <v>176</v>
      </c>
      <c r="L39" s="137">
        <v>2517</v>
      </c>
      <c r="M39" s="137">
        <v>5182</v>
      </c>
      <c r="N39" s="137">
        <v>10595</v>
      </c>
    </row>
    <row r="40" spans="2:14" x14ac:dyDescent="0.25">
      <c r="B40" t="s">
        <v>272</v>
      </c>
      <c r="C40" s="139">
        <v>34007</v>
      </c>
      <c r="D40" s="139">
        <v>38555</v>
      </c>
      <c r="E40" s="139">
        <v>39393</v>
      </c>
      <c r="F40" s="139">
        <v>52530</v>
      </c>
      <c r="G40" s="139">
        <v>74882</v>
      </c>
      <c r="H40" s="139">
        <v>119336</v>
      </c>
      <c r="I40" s="139">
        <v>169878</v>
      </c>
      <c r="J40" s="139">
        <v>136328</v>
      </c>
      <c r="K40" s="139">
        <v>114469</v>
      </c>
      <c r="L40" s="139">
        <v>126396</v>
      </c>
      <c r="M40" s="139">
        <v>145714</v>
      </c>
      <c r="N40" s="139">
        <v>185323</v>
      </c>
    </row>
    <row r="41" spans="2:14" x14ac:dyDescent="0.25">
      <c r="B41" s="35" t="s">
        <v>85</v>
      </c>
      <c r="C41" s="140">
        <v>504486</v>
      </c>
      <c r="D41" s="140">
        <v>598997</v>
      </c>
      <c r="E41" s="140">
        <v>706802</v>
      </c>
      <c r="F41" s="140">
        <v>811273</v>
      </c>
      <c r="G41" s="140">
        <v>997630</v>
      </c>
      <c r="H41" s="140">
        <v>1163015</v>
      </c>
      <c r="I41" s="140">
        <v>1320065</v>
      </c>
      <c r="J41" s="140">
        <v>1498622</v>
      </c>
      <c r="K41" s="140">
        <v>1605882</v>
      </c>
      <c r="L41" s="140">
        <v>1755048</v>
      </c>
      <c r="M41" s="140">
        <v>1949713</v>
      </c>
      <c r="N41" s="140">
        <v>2178140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8F94-83E3-46DA-B0D2-5B1BD74A6BA4}">
  <dimension ref="B2:E17"/>
  <sheetViews>
    <sheetView workbookViewId="0">
      <selection activeCell="G28" sqref="G28"/>
    </sheetView>
  </sheetViews>
  <sheetFormatPr defaultRowHeight="15" x14ac:dyDescent="0.25"/>
  <cols>
    <col min="1" max="1" width="1.85546875" customWidth="1"/>
    <col min="2" max="2" width="11.7109375" bestFit="1" customWidth="1"/>
    <col min="3" max="3" width="5" bestFit="1" customWidth="1"/>
    <col min="4" max="4" width="8.5703125" bestFit="1" customWidth="1"/>
    <col min="5" max="5" width="12.5703125" bestFit="1" customWidth="1"/>
  </cols>
  <sheetData>
    <row r="2" spans="2:5" x14ac:dyDescent="0.25">
      <c r="B2" s="174" t="s">
        <v>151</v>
      </c>
      <c r="C2" s="174"/>
      <c r="D2" s="174"/>
      <c r="E2" s="174"/>
    </row>
    <row r="3" spans="2:5" x14ac:dyDescent="0.25">
      <c r="B3" s="61" t="s">
        <v>149</v>
      </c>
      <c r="C3" s="62" t="s">
        <v>148</v>
      </c>
      <c r="D3" s="62" t="s">
        <v>1</v>
      </c>
      <c r="E3" s="62" t="s">
        <v>10</v>
      </c>
    </row>
    <row r="4" spans="2:5" x14ac:dyDescent="0.25">
      <c r="B4" s="63">
        <v>1</v>
      </c>
      <c r="C4">
        <v>2017</v>
      </c>
      <c r="D4" s="60">
        <v>36533</v>
      </c>
    </row>
    <row r="5" spans="2:5" x14ac:dyDescent="0.25">
      <c r="B5" s="63">
        <v>2</v>
      </c>
      <c r="C5">
        <v>2018</v>
      </c>
      <c r="D5" s="60">
        <v>35924</v>
      </c>
      <c r="E5" s="9">
        <f>IFERROR(D5/D4-1,0)</f>
        <v>-1.6669860126460989E-2</v>
      </c>
    </row>
    <row r="6" spans="2:5" x14ac:dyDescent="0.25">
      <c r="B6" s="63">
        <v>3</v>
      </c>
      <c r="C6">
        <v>2019</v>
      </c>
      <c r="D6" s="60">
        <v>40379</v>
      </c>
      <c r="E6" s="9">
        <f t="shared" ref="E6:E13" si="0">IFERROR(D6/D5-1,0)</f>
        <v>0.12401180269457734</v>
      </c>
    </row>
    <row r="7" spans="2:5" x14ac:dyDescent="0.25">
      <c r="B7" s="63">
        <v>4</v>
      </c>
      <c r="C7">
        <v>2020</v>
      </c>
      <c r="D7" s="60">
        <v>43403</v>
      </c>
      <c r="E7" s="9">
        <f t="shared" si="0"/>
        <v>7.4890413333663641E-2</v>
      </c>
    </row>
    <row r="8" spans="2:5" x14ac:dyDescent="0.25">
      <c r="B8" s="63">
        <v>5</v>
      </c>
      <c r="C8">
        <v>2021</v>
      </c>
      <c r="D8" s="60">
        <v>39537</v>
      </c>
      <c r="E8" s="9">
        <f t="shared" si="0"/>
        <v>-8.907218395041816E-2</v>
      </c>
    </row>
    <row r="9" spans="2:5" x14ac:dyDescent="0.25">
      <c r="B9" s="63">
        <v>6</v>
      </c>
      <c r="C9">
        <v>2022</v>
      </c>
      <c r="D9" s="60">
        <v>69420</v>
      </c>
      <c r="E9" s="9">
        <f t="shared" si="0"/>
        <v>0.75582365885120262</v>
      </c>
    </row>
    <row r="10" spans="2:5" x14ac:dyDescent="0.25">
      <c r="B10" s="63">
        <v>7</v>
      </c>
      <c r="C10">
        <v>2023</v>
      </c>
      <c r="D10" s="60">
        <v>127540</v>
      </c>
      <c r="E10" s="9">
        <f t="shared" si="0"/>
        <v>0.83722270239124175</v>
      </c>
    </row>
    <row r="11" spans="2:5" x14ac:dyDescent="0.25">
      <c r="B11" s="63">
        <v>8</v>
      </c>
      <c r="C11">
        <v>2024</v>
      </c>
      <c r="D11" s="60">
        <v>96421</v>
      </c>
      <c r="E11" s="9">
        <f t="shared" si="0"/>
        <v>-0.24399404108514977</v>
      </c>
    </row>
    <row r="12" spans="2:5" x14ac:dyDescent="0.25">
      <c r="B12" s="63">
        <v>9</v>
      </c>
      <c r="C12">
        <v>2025</v>
      </c>
      <c r="D12" s="60">
        <v>97895</v>
      </c>
      <c r="E12" s="9">
        <f t="shared" si="0"/>
        <v>1.5287126248431315E-2</v>
      </c>
    </row>
    <row r="13" spans="2:5" x14ac:dyDescent="0.25">
      <c r="B13" s="63">
        <v>10</v>
      </c>
      <c r="C13">
        <v>2026</v>
      </c>
      <c r="D13" s="60">
        <v>100469</v>
      </c>
      <c r="E13" s="9">
        <f t="shared" si="0"/>
        <v>2.6293477705705115E-2</v>
      </c>
    </row>
    <row r="15" spans="2:5" x14ac:dyDescent="0.25">
      <c r="B15" t="s">
        <v>152</v>
      </c>
      <c r="D15" s="64">
        <f>AVERAGE(E5:E13)</f>
        <v>0.16486589956253256</v>
      </c>
    </row>
    <row r="16" spans="2:5" x14ac:dyDescent="0.25">
      <c r="B16" t="s">
        <v>153</v>
      </c>
      <c r="D16" s="9">
        <f>_xlfn.RRI(B13,D4,D13)</f>
        <v>0.10645734031221665</v>
      </c>
    </row>
    <row r="17" spans="2:4" x14ac:dyDescent="0.25">
      <c r="B17" t="s">
        <v>150</v>
      </c>
      <c r="D17" s="9">
        <f>_xlfn.STDEV.S(E5:E13)</f>
        <v>0.37370472097340462</v>
      </c>
    </row>
  </sheetData>
  <mergeCells count="1">
    <mergeCell ref="B2: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1C85-D145-4BBC-BA08-A74ECF6F3617}">
  <dimension ref="B2:G31"/>
  <sheetViews>
    <sheetView showGridLines="0" zoomScaleNormal="100" workbookViewId="0">
      <selection activeCell="E23" sqref="E23"/>
    </sheetView>
  </sheetViews>
  <sheetFormatPr defaultRowHeight="15" x14ac:dyDescent="0.25"/>
  <cols>
    <col min="1" max="16384" width="9.140625" style="82"/>
  </cols>
  <sheetData>
    <row r="2" spans="2:7" x14ac:dyDescent="0.25">
      <c r="B2" s="178" t="s">
        <v>247</v>
      </c>
      <c r="C2" s="178"/>
    </row>
    <row r="3" spans="2:7" x14ac:dyDescent="0.25">
      <c r="B3" s="130"/>
      <c r="C3" s="130"/>
    </row>
    <row r="4" spans="2:7" x14ac:dyDescent="0.25">
      <c r="B4" s="128" t="s">
        <v>148</v>
      </c>
      <c r="C4" s="82" t="s">
        <v>246</v>
      </c>
    </row>
    <row r="5" spans="2:7" x14ac:dyDescent="0.25">
      <c r="B5" s="128">
        <v>2000</v>
      </c>
      <c r="C5" s="95">
        <f>(-14.65)/100</f>
        <v>-0.14649999999999999</v>
      </c>
      <c r="E5" s="82" t="s">
        <v>245</v>
      </c>
      <c r="G5" s="86">
        <f>AVERAGE(C5:C30)</f>
        <v>0.1514923076923077</v>
      </c>
    </row>
    <row r="6" spans="2:7" ht="17.25" x14ac:dyDescent="0.25">
      <c r="B6" s="128">
        <v>2001</v>
      </c>
      <c r="C6" s="95">
        <v>-0.1618</v>
      </c>
      <c r="E6" s="82" t="s">
        <v>244</v>
      </c>
      <c r="G6" s="129" t="s">
        <v>243</v>
      </c>
    </row>
    <row r="7" spans="2:7" x14ac:dyDescent="0.25">
      <c r="B7" s="128">
        <v>2002</v>
      </c>
      <c r="C7" s="95">
        <v>3.2500000000000001E-2</v>
      </c>
      <c r="E7" s="82" t="s">
        <v>242</v>
      </c>
      <c r="G7" s="86">
        <f>SUM(G5,G6)</f>
        <v>0.1514923076923077</v>
      </c>
    </row>
    <row r="8" spans="2:7" x14ac:dyDescent="0.25">
      <c r="B8" s="128">
        <v>2003</v>
      </c>
      <c r="C8" s="95">
        <v>0.71900000000000008</v>
      </c>
    </row>
    <row r="9" spans="2:7" x14ac:dyDescent="0.25">
      <c r="B9" s="128">
        <v>2004</v>
      </c>
      <c r="C9" s="95">
        <v>0.10679999999999999</v>
      </c>
    </row>
    <row r="10" spans="2:7" x14ac:dyDescent="0.25">
      <c r="B10" s="128">
        <v>2005</v>
      </c>
      <c r="C10" s="95">
        <v>0.36340000000000006</v>
      </c>
    </row>
    <row r="11" spans="2:7" x14ac:dyDescent="0.25">
      <c r="B11" s="128">
        <v>2006</v>
      </c>
      <c r="C11" s="95">
        <v>0.39829999999999999</v>
      </c>
    </row>
    <row r="12" spans="2:7" x14ac:dyDescent="0.25">
      <c r="B12" s="128">
        <v>2007</v>
      </c>
      <c r="C12" s="95">
        <v>0.54770000000000008</v>
      </c>
    </row>
    <row r="13" spans="2:7" x14ac:dyDescent="0.25">
      <c r="B13" s="128">
        <v>2008</v>
      </c>
      <c r="C13" s="95">
        <v>-0.51790000000000003</v>
      </c>
    </row>
    <row r="14" spans="2:7" x14ac:dyDescent="0.25">
      <c r="B14" s="128">
        <v>2009</v>
      </c>
      <c r="C14" s="95">
        <v>0.75760000000000005</v>
      </c>
    </row>
    <row r="15" spans="2:7" x14ac:dyDescent="0.25">
      <c r="B15" s="128">
        <v>2010</v>
      </c>
      <c r="C15" s="95">
        <v>0.17949999999999999</v>
      </c>
    </row>
    <row r="16" spans="2:7" x14ac:dyDescent="0.25">
      <c r="B16" s="128">
        <v>2011</v>
      </c>
      <c r="C16" s="95">
        <v>-0.2462</v>
      </c>
    </row>
    <row r="17" spans="2:3" x14ac:dyDescent="0.25">
      <c r="B17" s="128">
        <v>2012</v>
      </c>
      <c r="C17" s="95">
        <v>0.27699999999999997</v>
      </c>
    </row>
    <row r="18" spans="2:3" x14ac:dyDescent="0.25">
      <c r="B18" s="128">
        <v>2013</v>
      </c>
      <c r="C18" s="95">
        <v>6.7599999999999993E-2</v>
      </c>
    </row>
    <row r="19" spans="2:3" x14ac:dyDescent="0.25">
      <c r="B19" s="128">
        <v>2014</v>
      </c>
      <c r="C19" s="95">
        <v>0.31390000000000001</v>
      </c>
    </row>
    <row r="20" spans="2:3" x14ac:dyDescent="0.25">
      <c r="B20" s="128">
        <v>2015</v>
      </c>
      <c r="C20" s="95">
        <v>-4.0599999999999997E-2</v>
      </c>
    </row>
    <row r="21" spans="2:3" x14ac:dyDescent="0.25">
      <c r="B21" s="128">
        <v>2016</v>
      </c>
      <c r="C21" s="95">
        <v>3.0099999999999998E-2</v>
      </c>
    </row>
    <row r="22" spans="2:3" x14ac:dyDescent="0.25">
      <c r="B22" s="128">
        <v>2017</v>
      </c>
      <c r="C22" s="95">
        <v>0.28649999999999998</v>
      </c>
    </row>
    <row r="23" spans="2:3" x14ac:dyDescent="0.25">
      <c r="B23" s="128">
        <v>2018</v>
      </c>
      <c r="C23" s="95">
        <v>3.15E-2</v>
      </c>
    </row>
    <row r="24" spans="2:3" x14ac:dyDescent="0.25">
      <c r="B24" s="128">
        <v>2019</v>
      </c>
      <c r="C24" s="95">
        <v>0.1202</v>
      </c>
    </row>
    <row r="25" spans="2:3" x14ac:dyDescent="0.25">
      <c r="B25" s="128">
        <v>2020</v>
      </c>
      <c r="C25" s="95">
        <v>0.14899999999999999</v>
      </c>
    </row>
    <row r="26" spans="2:3" x14ac:dyDescent="0.25">
      <c r="B26" s="128">
        <v>2021</v>
      </c>
      <c r="C26" s="95">
        <v>0.2412</v>
      </c>
    </row>
    <row r="27" spans="2:3" x14ac:dyDescent="0.25">
      <c r="B27" s="128">
        <v>2022</v>
      </c>
      <c r="C27" s="95">
        <v>4.3200000000000002E-2</v>
      </c>
    </row>
    <row r="28" spans="2:3" x14ac:dyDescent="0.25">
      <c r="B28" s="128">
        <v>2023</v>
      </c>
      <c r="C28" s="95">
        <v>0.19420000000000001</v>
      </c>
    </row>
    <row r="29" spans="2:3" x14ac:dyDescent="0.25">
      <c r="B29" s="128">
        <v>2024</v>
      </c>
      <c r="C29" s="95">
        <v>8.7499999999999994E-2</v>
      </c>
    </row>
    <row r="30" spans="2:3" x14ac:dyDescent="0.25">
      <c r="B30" s="128">
        <v>2025</v>
      </c>
      <c r="C30" s="95">
        <v>0.1051</v>
      </c>
    </row>
    <row r="31" spans="2:3" x14ac:dyDescent="0.25">
      <c r="B31" s="128">
        <v>2026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DCF&gt;&gt;</vt:lpstr>
      <vt:lpstr>WACC</vt:lpstr>
      <vt:lpstr>Beta</vt:lpstr>
      <vt:lpstr>FInancials&gt;&gt;</vt:lpstr>
      <vt:lpstr>Ratio Analysis</vt:lpstr>
      <vt:lpstr>HistoricalFS</vt:lpstr>
      <vt:lpstr>Common Size</vt:lpstr>
      <vt:lpstr>Forecasting</vt:lpstr>
      <vt:lpstr>Data's&gt;&gt;</vt:lpstr>
      <vt:lpstr>Data Sheet</vt:lpstr>
      <vt:lpstr>Cash Flow Data</vt:lpstr>
      <vt:lpstr>Balance Sheet</vt:lpstr>
      <vt:lpstr>Adani Enterprise</vt:lpstr>
      <vt:lpstr>Market Return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Muhammad Atif Khan</cp:lastModifiedBy>
  <cp:lastPrinted>2012-12-06T18:14:13Z</cp:lastPrinted>
  <dcterms:created xsi:type="dcterms:W3CDTF">2012-08-17T09:55:37Z</dcterms:created>
  <dcterms:modified xsi:type="dcterms:W3CDTF">2026-05-20T13:48:19Z</dcterms:modified>
</cp:coreProperties>
</file>